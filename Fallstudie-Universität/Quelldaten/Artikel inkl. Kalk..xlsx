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endeha\Documents\31 Veranstaltungen WS 2025_26\Mgmt Rep WS 25_26\Pruefung WS 25_26\Datenset Hauptcockpit WS 25_26\"/>
    </mc:Choice>
  </mc:AlternateContent>
  <xr:revisionPtr revIDLastSave="0" documentId="13_ncr:1_{10113999-DF29-4894-A3D9-1A002FD7FE35}" xr6:coauthVersionLast="47" xr6:coauthVersionMax="47" xr10:uidLastSave="{00000000-0000-0000-0000-000000000000}"/>
  <bookViews>
    <workbookView xWindow="-110" yWindow="-110" windowWidth="19420" windowHeight="10300" tabRatio="761" xr2:uid="{BE38E56F-76D0-4AF2-AB27-5DFBA04EEB1B}"/>
  </bookViews>
  <sheets>
    <sheet name="Materialstamm" sheetId="1" r:id="rId1"/>
    <sheet name="Tarife" sheetId="3" r:id="rId2"/>
    <sheet name="bewert. Stücklisten Räder" sheetId="2" r:id="rId3"/>
    <sheet name="bewert. Stücklisten Rahmen" sheetId="4" r:id="rId4"/>
    <sheet name="bewert. Stücklisten Fahrräder" sheetId="5" r:id="rId5"/>
    <sheet name="Kostenelemente" sheetId="6" r:id="rId6"/>
  </sheets>
  <definedNames>
    <definedName name="_xlnm._FilterDatabase" localSheetId="3" hidden="1">'bewert. Stücklisten Rahmen'!#REF!</definedName>
    <definedName name="_xlnm._FilterDatabase" localSheetId="0" hidden="1">Materialstamm!$A$1:$G$77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3" i="5" l="1"/>
  <c r="D192" i="5"/>
  <c r="D191" i="5"/>
  <c r="D190" i="5"/>
  <c r="D189" i="5"/>
  <c r="D188" i="5"/>
  <c r="D187" i="5"/>
  <c r="D186" i="5"/>
  <c r="D185" i="5"/>
  <c r="D180" i="5"/>
  <c r="D179" i="5"/>
  <c r="D178" i="5"/>
  <c r="D177" i="5"/>
  <c r="D176" i="5"/>
  <c r="F176" i="5" s="1"/>
  <c r="D175" i="5"/>
  <c r="D174" i="5"/>
  <c r="D173" i="5"/>
  <c r="D172" i="5"/>
  <c r="D167" i="5"/>
  <c r="D166" i="5"/>
  <c r="F166" i="5" s="1"/>
  <c r="D165" i="5"/>
  <c r="D164" i="5"/>
  <c r="D163" i="5"/>
  <c r="D162" i="5"/>
  <c r="D161" i="5"/>
  <c r="D160" i="5"/>
  <c r="D159" i="5"/>
  <c r="D154" i="5"/>
  <c r="D153" i="5"/>
  <c r="D152" i="5"/>
  <c r="D151" i="5"/>
  <c r="D150" i="5"/>
  <c r="D149" i="5"/>
  <c r="D148" i="5"/>
  <c r="D147" i="5"/>
  <c r="D146" i="5"/>
  <c r="D141" i="5"/>
  <c r="D140" i="5"/>
  <c r="D139" i="5"/>
  <c r="D138" i="5"/>
  <c r="D137" i="5"/>
  <c r="D136" i="5"/>
  <c r="D135" i="5"/>
  <c r="D134" i="5"/>
  <c r="D133" i="5"/>
  <c r="D128" i="5"/>
  <c r="F128" i="5" s="1"/>
  <c r="D127" i="5"/>
  <c r="D126" i="5"/>
  <c r="D125" i="5"/>
  <c r="D124" i="5"/>
  <c r="D123" i="5"/>
  <c r="D122" i="5"/>
  <c r="D121" i="5"/>
  <c r="D120" i="5"/>
  <c r="D115" i="5"/>
  <c r="D114" i="5"/>
  <c r="D113" i="5"/>
  <c r="D112" i="5"/>
  <c r="D111" i="5"/>
  <c r="D110" i="5"/>
  <c r="D109" i="5"/>
  <c r="D108" i="5"/>
  <c r="F108" i="5" s="1"/>
  <c r="D107" i="5"/>
  <c r="D102" i="5"/>
  <c r="D101" i="5"/>
  <c r="D100" i="5"/>
  <c r="D99" i="5"/>
  <c r="D98" i="5"/>
  <c r="D97" i="5"/>
  <c r="D96" i="5"/>
  <c r="D95" i="5"/>
  <c r="F95" i="5" s="1"/>
  <c r="D94" i="5"/>
  <c r="D89" i="5"/>
  <c r="D88" i="5"/>
  <c r="D87" i="5"/>
  <c r="D86" i="5"/>
  <c r="D85" i="5"/>
  <c r="D84" i="5"/>
  <c r="D83" i="5"/>
  <c r="D82" i="5"/>
  <c r="F82" i="5" s="1"/>
  <c r="D81" i="5"/>
  <c r="D76" i="5"/>
  <c r="D75" i="5"/>
  <c r="D74" i="5"/>
  <c r="D73" i="5"/>
  <c r="D72" i="5"/>
  <c r="D71" i="5"/>
  <c r="D70" i="5"/>
  <c r="D69" i="5"/>
  <c r="D68" i="5"/>
  <c r="D63" i="5"/>
  <c r="D62" i="5"/>
  <c r="D61" i="5"/>
  <c r="D60" i="5"/>
  <c r="D59" i="5"/>
  <c r="D58" i="5"/>
  <c r="D57" i="5"/>
  <c r="D56" i="5"/>
  <c r="D55" i="5"/>
  <c r="D50" i="5"/>
  <c r="D49" i="5"/>
  <c r="D48" i="5"/>
  <c r="D47" i="5"/>
  <c r="D46" i="5"/>
  <c r="D45" i="5"/>
  <c r="D44" i="5"/>
  <c r="D43" i="5"/>
  <c r="D42" i="5"/>
  <c r="D37" i="5"/>
  <c r="D36" i="5"/>
  <c r="D35" i="5"/>
  <c r="D34" i="5"/>
  <c r="D33" i="5"/>
  <c r="D32" i="5"/>
  <c r="D31" i="5"/>
  <c r="D30" i="5"/>
  <c r="D29" i="5"/>
  <c r="D24" i="5"/>
  <c r="D23" i="5"/>
  <c r="D22" i="5"/>
  <c r="D21" i="5"/>
  <c r="D20" i="5"/>
  <c r="D19" i="5"/>
  <c r="D18" i="5"/>
  <c r="D17" i="5"/>
  <c r="D16" i="5"/>
  <c r="D11" i="5"/>
  <c r="D10" i="5"/>
  <c r="D9" i="5"/>
  <c r="D8" i="5"/>
  <c r="D7" i="5"/>
  <c r="D6" i="5"/>
  <c r="D5" i="5"/>
  <c r="D4" i="5"/>
  <c r="D3" i="5"/>
  <c r="D61" i="4"/>
  <c r="D60" i="4"/>
  <c r="D59" i="4"/>
  <c r="D58" i="4"/>
  <c r="D57" i="4"/>
  <c r="D52" i="4"/>
  <c r="D51" i="4"/>
  <c r="D50" i="4"/>
  <c r="D49" i="4"/>
  <c r="D48" i="4"/>
  <c r="D43" i="4"/>
  <c r="D42" i="4"/>
  <c r="D41" i="4"/>
  <c r="D40" i="4"/>
  <c r="D39" i="4"/>
  <c r="D34" i="4"/>
  <c r="D33" i="4"/>
  <c r="D32" i="4"/>
  <c r="D31" i="4"/>
  <c r="D30" i="4"/>
  <c r="D25" i="4"/>
  <c r="D24" i="4"/>
  <c r="D23" i="4"/>
  <c r="D22" i="4"/>
  <c r="D21" i="4"/>
  <c r="D16" i="4"/>
  <c r="D15" i="4"/>
  <c r="D14" i="4"/>
  <c r="D13" i="4"/>
  <c r="D12" i="4"/>
  <c r="D7" i="4"/>
  <c r="D6" i="4"/>
  <c r="D5" i="4"/>
  <c r="D4" i="4"/>
  <c r="D3" i="4"/>
  <c r="D38" i="2"/>
  <c r="D37" i="2"/>
  <c r="D36" i="2"/>
  <c r="D35" i="2"/>
  <c r="D30" i="2"/>
  <c r="D29" i="2"/>
  <c r="D28" i="2"/>
  <c r="D27" i="2"/>
  <c r="D22" i="2"/>
  <c r="D21" i="2"/>
  <c r="D20" i="2"/>
  <c r="D19" i="2"/>
  <c r="D14" i="2"/>
  <c r="D13" i="2"/>
  <c r="D12" i="2"/>
  <c r="D11" i="2"/>
  <c r="D6" i="2"/>
  <c r="D5" i="2"/>
  <c r="D4" i="2"/>
  <c r="D3" i="2"/>
  <c r="F43" i="5"/>
  <c r="F69" i="5"/>
  <c r="F148" i="5"/>
  <c r="F121" i="4"/>
  <c r="F101" i="5" l="1"/>
  <c r="F187" i="5"/>
  <c r="F139" i="5"/>
  <c r="F73" i="5"/>
  <c r="F45" i="5"/>
  <c r="F31" i="4"/>
  <c r="F112" i="5"/>
  <c r="F113" i="5"/>
  <c r="F96" i="5"/>
  <c r="F190" i="5"/>
  <c r="F135" i="5"/>
  <c r="F87" i="4"/>
  <c r="F33" i="5"/>
  <c r="F186" i="5"/>
  <c r="F147" i="5"/>
  <c r="F107" i="5"/>
  <c r="F42" i="5"/>
  <c r="F16" i="5"/>
  <c r="F4" i="5"/>
  <c r="F131" i="4"/>
  <c r="F111" i="4"/>
  <c r="F79" i="4"/>
  <c r="F69" i="4"/>
  <c r="F49" i="4"/>
  <c r="F39" i="4"/>
  <c r="F177" i="5" l="1"/>
  <c r="F63" i="5"/>
  <c r="F121" i="5"/>
  <c r="F18" i="5"/>
  <c r="F17" i="5"/>
  <c r="F100" i="5"/>
  <c r="F83" i="5"/>
  <c r="F55" i="5"/>
  <c r="F130" i="4"/>
  <c r="F112" i="4"/>
  <c r="F102" i="4"/>
  <c r="F42" i="4"/>
  <c r="F106" i="4"/>
  <c r="F4" i="4"/>
  <c r="F105" i="4"/>
  <c r="F123" i="4"/>
  <c r="F104" i="4"/>
  <c r="F40" i="4"/>
  <c r="F103" i="4"/>
  <c r="F51" i="4"/>
  <c r="F132" i="4"/>
  <c r="F122" i="4"/>
  <c r="F5" i="4"/>
  <c r="F50" i="4"/>
  <c r="F167" i="5"/>
  <c r="F41" i="4"/>
  <c r="F6" i="5"/>
  <c r="F30" i="4"/>
  <c r="F159" i="5"/>
  <c r="F114" i="4"/>
  <c r="F133" i="4"/>
  <c r="F149" i="5"/>
  <c r="F35" i="5"/>
  <c r="F3" i="5"/>
  <c r="F23" i="4"/>
  <c r="F32" i="4"/>
  <c r="F60" i="4"/>
  <c r="F191" i="5"/>
  <c r="F126" i="5"/>
  <c r="F9" i="5"/>
  <c r="F173" i="5"/>
  <c r="F134" i="5"/>
  <c r="F150" i="5"/>
  <c r="F56" i="5"/>
  <c r="F146" i="5"/>
  <c r="F62" i="5"/>
  <c r="F152" i="5"/>
  <c r="F58" i="5"/>
  <c r="F34" i="5"/>
  <c r="F99" i="5"/>
  <c r="F49" i="5"/>
  <c r="F124" i="5"/>
  <c r="F30" i="5"/>
  <c r="F133" i="5"/>
  <c r="F29" i="5"/>
  <c r="F178" i="5"/>
  <c r="F193" i="5"/>
  <c r="F192" i="5"/>
  <c r="F88" i="5"/>
  <c r="F114" i="5"/>
  <c r="F19" i="5"/>
  <c r="F122" i="5"/>
  <c r="F72" i="5"/>
  <c r="F97" i="5"/>
  <c r="F162" i="5"/>
  <c r="F160" i="5"/>
  <c r="F94" i="4"/>
  <c r="F22" i="5"/>
  <c r="F68" i="4"/>
  <c r="F32" i="5"/>
  <c r="F7" i="5"/>
  <c r="F185" i="5"/>
  <c r="F81" i="5"/>
  <c r="F174" i="5"/>
  <c r="F70" i="5"/>
  <c r="F21" i="5"/>
  <c r="F5" i="5"/>
  <c r="F68" i="5"/>
  <c r="F23" i="5"/>
  <c r="F25" i="4"/>
  <c r="F120" i="5"/>
  <c r="F71" i="5"/>
  <c r="F164" i="5"/>
  <c r="F60" i="5"/>
  <c r="F180" i="5"/>
  <c r="F86" i="5"/>
  <c r="F189" i="5"/>
  <c r="F84" i="5"/>
  <c r="F47" i="5"/>
  <c r="F154" i="5"/>
  <c r="F172" i="5"/>
  <c r="F76" i="5"/>
  <c r="F179" i="5"/>
  <c r="F188" i="5"/>
  <c r="F94" i="5"/>
  <c r="F115" i="4"/>
  <c r="F102" i="5"/>
  <c r="F14" i="4"/>
  <c r="F124" i="4"/>
  <c r="F97" i="4"/>
  <c r="F34" i="4"/>
  <c r="F123" i="5"/>
  <c r="F20" i="5"/>
  <c r="F120" i="4"/>
  <c r="F138" i="5"/>
  <c r="F24" i="4"/>
  <c r="F33" i="4"/>
  <c r="F36" i="5"/>
  <c r="F74" i="5"/>
  <c r="F85" i="4"/>
  <c r="F70" i="4"/>
  <c r="F87" i="5"/>
  <c r="F86" i="4"/>
  <c r="F127" i="5"/>
  <c r="F84" i="4"/>
  <c r="F136" i="5"/>
  <c r="F151" i="5"/>
  <c r="F15" i="4"/>
  <c r="F58" i="4"/>
  <c r="F8" i="5"/>
  <c r="F13" i="4"/>
  <c r="F10" i="5"/>
  <c r="F50" i="5"/>
  <c r="F89" i="5"/>
  <c r="F22" i="4"/>
  <c r="F78" i="4"/>
  <c r="F125" i="5"/>
  <c r="F85" i="5"/>
  <c r="F31" i="5"/>
  <c r="F57" i="4"/>
  <c r="F6" i="4"/>
  <c r="F137" i="5"/>
  <c r="F175" i="5"/>
  <c r="F88" i="4"/>
  <c r="F57" i="5"/>
  <c r="F115" i="5"/>
  <c r="F21" i="4"/>
  <c r="F165" i="5"/>
  <c r="F75" i="5"/>
  <c r="F96" i="4"/>
  <c r="F12" i="4"/>
  <c r="F67" i="4"/>
  <c r="F3" i="4"/>
  <c r="F95" i="4"/>
  <c r="F113" i="4"/>
  <c r="F109" i="5"/>
  <c r="F161" i="5"/>
  <c r="F66" i="4"/>
  <c r="F11" i="5"/>
  <c r="F24" i="5"/>
  <c r="F111" i="5"/>
  <c r="F61" i="4"/>
  <c r="F59" i="4"/>
  <c r="F77" i="4"/>
  <c r="F61" i="5"/>
  <c r="F153" i="5"/>
  <c r="F98" i="5"/>
  <c r="F75" i="4"/>
  <c r="F7" i="4"/>
  <c r="F48" i="5"/>
  <c r="F140" i="5"/>
  <c r="F163" i="5"/>
  <c r="F52" i="4"/>
  <c r="F46" i="5"/>
  <c r="F141" i="5"/>
  <c r="F16" i="4"/>
  <c r="F76" i="4"/>
  <c r="F129" i="4"/>
  <c r="F44" i="5"/>
  <c r="F48" i="4"/>
  <c r="F37" i="5"/>
  <c r="F59" i="5"/>
  <c r="F43" i="4"/>
  <c r="F93" i="4"/>
  <c r="F110" i="5"/>
</calcChain>
</file>

<file path=xl/sharedStrings.xml><?xml version="1.0" encoding="utf-8"?>
<sst xmlns="http://schemas.openxmlformats.org/spreadsheetml/2006/main" count="888" uniqueCount="134">
  <si>
    <t>ArtikelNr</t>
  </si>
  <si>
    <t>Bezeichnung</t>
  </si>
  <si>
    <t>Mengeneinheit</t>
  </si>
  <si>
    <t>Materialart</t>
  </si>
  <si>
    <t>Komplettrad 24</t>
  </si>
  <si>
    <t>Reifen 24</t>
  </si>
  <si>
    <t>Speichen 24</t>
  </si>
  <si>
    <t>Schlauch 24</t>
  </si>
  <si>
    <t>Felge 24</t>
  </si>
  <si>
    <t>Sechskantmutter 5mm</t>
  </si>
  <si>
    <t>Sicherungsscheibe 5mm</t>
  </si>
  <si>
    <t>Inbusschraube 5x20mm</t>
  </si>
  <si>
    <t>Rahmen Basic 24</t>
  </si>
  <si>
    <t>Lack</t>
  </si>
  <si>
    <t>Kettenschaltung Bauteile</t>
  </si>
  <si>
    <t>Sitz Bauteile Basic</t>
  </si>
  <si>
    <t>Pedale Bauteile</t>
  </si>
  <si>
    <t>Kette</t>
  </si>
  <si>
    <t>Bremsanlage</t>
  </si>
  <si>
    <t>Garantiedokument</t>
  </si>
  <si>
    <t>FERT</t>
  </si>
  <si>
    <t>HALB</t>
  </si>
  <si>
    <t>ROH</t>
  </si>
  <si>
    <t>L</t>
  </si>
  <si>
    <t>ST</t>
  </si>
  <si>
    <t>Komplettrad 26</t>
  </si>
  <si>
    <t>Reifen 26</t>
  </si>
  <si>
    <t>Speichen 26</t>
  </si>
  <si>
    <t>Schlauch 26</t>
  </si>
  <si>
    <t>Felge 26</t>
  </si>
  <si>
    <t>Rahmen Basic 26</t>
  </si>
  <si>
    <t>Komplettrad 28</t>
  </si>
  <si>
    <t>Reifen 28</t>
  </si>
  <si>
    <t>Speichen 28</t>
  </si>
  <si>
    <t>Schlauch 28</t>
  </si>
  <si>
    <t>Felge 28</t>
  </si>
  <si>
    <t>Komplettrad 27,5</t>
  </si>
  <si>
    <t>Reifen 27,5</t>
  </si>
  <si>
    <t>Speichen 27,5</t>
  </si>
  <si>
    <t>Schlauch 27,5</t>
  </si>
  <si>
    <t>Felge 27,5</t>
  </si>
  <si>
    <t>Komplettrad 29</t>
  </si>
  <si>
    <t>Reifen 29</t>
  </si>
  <si>
    <t>Speichen 29</t>
  </si>
  <si>
    <t>Schlauch 29</t>
  </si>
  <si>
    <t>Felge 29</t>
  </si>
  <si>
    <t>Rahmen Basic 28</t>
  </si>
  <si>
    <t>Rahmen Basic 27,5</t>
  </si>
  <si>
    <t>Rahmen Basic 29</t>
  </si>
  <si>
    <t>Sitz Bauteile Comfort</t>
  </si>
  <si>
    <t>Sitz Bauteile Premium</t>
  </si>
  <si>
    <t>Rahmen Comfort 24</t>
  </si>
  <si>
    <t>Rahmen Comfort 26</t>
  </si>
  <si>
    <t>Rahmen Comfort 28</t>
  </si>
  <si>
    <t>Rahmen Comfort 27,5</t>
  </si>
  <si>
    <t>Rahmen Comfort 29</t>
  </si>
  <si>
    <t>Rahmen Premium 24</t>
  </si>
  <si>
    <t>Rahmen Premium 26</t>
  </si>
  <si>
    <t>Rahmen Premium 28</t>
  </si>
  <si>
    <t>Rahmen Premium 27,5</t>
  </si>
  <si>
    <t>Rahmen Premium 29</t>
  </si>
  <si>
    <t>Carbonrohr</t>
  </si>
  <si>
    <t>Lack Superior</t>
  </si>
  <si>
    <t>Personenarbeit</t>
  </si>
  <si>
    <t>Menge</t>
  </si>
  <si>
    <t>Preis</t>
  </si>
  <si>
    <t>Herstellkosten</t>
  </si>
  <si>
    <t>ME</t>
  </si>
  <si>
    <t>Arbeitsplatz</t>
  </si>
  <si>
    <t>Leistungsart</t>
  </si>
  <si>
    <t>Maschinenarbeit</t>
  </si>
  <si>
    <t>Personalarbeit</t>
  </si>
  <si>
    <t>Reifenmontage</t>
  </si>
  <si>
    <t>Fahrradmontage</t>
  </si>
  <si>
    <t>Rahmenerstellung</t>
  </si>
  <si>
    <t>Leistungseinheit</t>
  </si>
  <si>
    <t>STD</t>
  </si>
  <si>
    <t>Tarif variabel</t>
  </si>
  <si>
    <t>Fahrrad Basic 24</t>
  </si>
  <si>
    <t>Fahrrad Basic 26</t>
  </si>
  <si>
    <t>Fahrrad Basic 28</t>
  </si>
  <si>
    <t>Fahrrad Basic 27,5</t>
  </si>
  <si>
    <t>Fahrrad Basic 29</t>
  </si>
  <si>
    <t>Fahrrad Premium 29</t>
  </si>
  <si>
    <t>M</t>
  </si>
  <si>
    <t>Lenker Bauteile Comfort</t>
  </si>
  <si>
    <t>Lenker Bauteile Premium</t>
  </si>
  <si>
    <t>Lenker Bauteile Basic</t>
  </si>
  <si>
    <t>Produktgruppe</t>
  </si>
  <si>
    <t>X99</t>
  </si>
  <si>
    <t>VERP</t>
  </si>
  <si>
    <t>Folie</t>
  </si>
  <si>
    <t>Verpackung</t>
  </si>
  <si>
    <t>QM</t>
  </si>
  <si>
    <t>X98</t>
  </si>
  <si>
    <t>Schaumstoff</t>
  </si>
  <si>
    <t>E00</t>
  </si>
  <si>
    <t>ERSA</t>
  </si>
  <si>
    <t>Motor</t>
  </si>
  <si>
    <t>Ersatzteile</t>
  </si>
  <si>
    <t>Fahrräder</t>
  </si>
  <si>
    <t>Fahrrad Comfort 24</t>
  </si>
  <si>
    <t>Fahrrad Comfort 26</t>
  </si>
  <si>
    <t>Fahrrad Comfort 27,5</t>
  </si>
  <si>
    <t>Fahrrad Comfort 28</t>
  </si>
  <si>
    <t>Fahrrad Comfort 29</t>
  </si>
  <si>
    <t>Fahrrad Premium 24</t>
  </si>
  <si>
    <t>Fahrrad Premium 26</t>
  </si>
  <si>
    <t>Fahrrad Premium 27,5</t>
  </si>
  <si>
    <t>Fahrrad Premium 28</t>
  </si>
  <si>
    <t>Kompletträder</t>
  </si>
  <si>
    <t>Rahmen</t>
  </si>
  <si>
    <t>Carbon</t>
  </si>
  <si>
    <t>Aluminium</t>
  </si>
  <si>
    <t>Felge</t>
  </si>
  <si>
    <t>Reifen</t>
  </si>
  <si>
    <t>Schlauch</t>
  </si>
  <si>
    <t>Speichen</t>
  </si>
  <si>
    <t>Befestigung</t>
  </si>
  <si>
    <t>Bremsen</t>
  </si>
  <si>
    <t>Garantie</t>
  </si>
  <si>
    <t>Lenker</t>
  </si>
  <si>
    <t>Pedale</t>
  </si>
  <si>
    <t>Sitze</t>
  </si>
  <si>
    <t>Aluminiumrohr</t>
  </si>
  <si>
    <t>Größe</t>
  </si>
  <si>
    <t>Preis p.u.</t>
  </si>
  <si>
    <t>Sitz Bauteile comfort</t>
  </si>
  <si>
    <t>FEK Pers</t>
  </si>
  <si>
    <t>MEK</t>
  </si>
  <si>
    <t>FEK Maschine</t>
  </si>
  <si>
    <t>HStK</t>
  </si>
  <si>
    <t>Bez</t>
  </si>
  <si>
    <t>ArtNr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</si>
</sst>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2" fontId="0" fillId="0" borderId="0" xfId="0" applyNumberFormat="1" applyAlignment="1">
      <alignment horizontal="right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2" fontId="0" fillId="2" borderId="1" xfId="0" applyNumberFormat="1" applyFill="1" applyBorder="1" applyAlignment="1">
      <alignment horizontal="right"/>
    </xf>
    <xf numFmtId="2" fontId="0" fillId="2" borderId="3" xfId="0" applyNumberFormat="1" applyFill="1" applyBorder="1" applyAlignment="1">
      <alignment horizontal="right"/>
    </xf>
    <xf numFmtId="0" fontId="0" fillId="2" borderId="0" xfId="0" applyFill="1"/>
    <xf numFmtId="2" fontId="0" fillId="2" borderId="2" xfId="0" applyNumberFormat="1" applyFill="1" applyBorder="1"/>
    <xf numFmtId="2" fontId="0" fillId="2" borderId="0" xfId="0" applyNumberFormat="1" applyFill="1"/>
    <xf numFmtId="0" fontId="0" fillId="2" borderId="2" xfId="0" applyFill="1" applyBorder="1"/>
    <xf numFmtId="0" fontId="0" fillId="2" borderId="1" xfId="0" applyFill="1" applyBorder="1"/>
    <xf numFmtId="2" fontId="0" fillId="2" borderId="3" xfId="0" applyNumberFormat="1" applyFill="1" applyBorder="1"/>
    <xf numFmtId="2" fontId="0" fillId="2" borderId="1" xfId="0" applyNumberFormat="1" applyFill="1" applyBorder="1"/>
    <xf numFmtId="0" fontId="0" fillId="2" borderId="3" xfId="0" applyFill="1" applyBorder="1"/>
    <xf numFmtId="0" fontId="0" fillId="2" borderId="0" xfId="0" applyFill="1" applyAlignment="1">
      <alignment horizontal="right"/>
    </xf>
    <xf numFmtId="2" fontId="0" fillId="2" borderId="2" xfId="0" applyNumberFormat="1" applyFill="1" applyBorder="1" applyAlignment="1">
      <alignment horizontal="right"/>
    </xf>
    <xf numFmtId="2" fontId="0" fillId="2" borderId="0" xfId="0" applyNumberFormat="1" applyFill="1" applyAlignment="1">
      <alignment horizontal="right"/>
    </xf>
    <xf numFmtId="0" fontId="0" fillId="2" borderId="1" xfId="0" applyFill="1" applyBorder="1" applyAlignment="1">
      <alignment horizontal="right"/>
    </xf>
    <xf numFmtId="2" fontId="0" fillId="2" borderId="0" xfId="0" applyNumberForma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right"/>
    </xf>
    <xf numFmtId="2" fontId="0" fillId="3" borderId="0" xfId="0" applyNumberFormat="1" applyFill="1" applyAlignment="1">
      <alignment horizontal="right"/>
    </xf>
    <xf numFmtId="0" fontId="1" fillId="3" borderId="0" xfId="0" applyFont="1" applyFill="1"/>
    <xf numFmtId="0" fontId="1" fillId="3" borderId="0" xfId="0" applyFont="1" applyFill="1" applyAlignment="1">
      <alignment horizontal="right"/>
    </xf>
    <xf numFmtId="2" fontId="1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2" fontId="1" fillId="0" borderId="0" xfId="0" applyNumberFormat="1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13970</xdr:colOff>
      <xdr:row>4</xdr:row>
      <xdr:rowOff>156845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A118E46-7DAE-4699-949B-93D41C8D66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71" t="12483" r="1079" b="27787"/>
        <a:stretch/>
      </xdr:blipFill>
      <xdr:spPr>
        <a:xfrm>
          <a:off x="8801100" y="184150"/>
          <a:ext cx="2293620" cy="709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8020-225F-49B6-BF51-9344BC073AE4}">
  <sheetPr>
    <tabColor theme="9" tint="0.39997558519241921"/>
  </sheetPr>
  <dimension ref="A1:N77"/>
  <sheetViews>
    <sheetView tabSelected="1" workbookViewId="0">
      <selection activeCell="K8" sqref="K8"/>
    </sheetView>
  </sheetViews>
  <sheetFormatPr baseColWidth="10" defaultRowHeight="14.5" x14ac:dyDescent="0.35"/>
  <cols>
    <col min="1" max="1" width="12.54296875" style="1" customWidth="1"/>
    <col min="2" max="2" width="29" customWidth="1"/>
    <col min="3" max="3" width="6" bestFit="1" customWidth="1"/>
    <col min="4" max="4" width="15.26953125" customWidth="1"/>
    <col min="5" max="5" width="12.90625" style="1" customWidth="1"/>
    <col min="6" max="6" width="15.90625" style="1" customWidth="1"/>
    <col min="8" max="8" width="12.54296875" style="1" customWidth="1"/>
    <col min="11" max="11" width="21.7265625" bestFit="1" customWidth="1"/>
    <col min="15" max="15" width="13.54296875" bestFit="1" customWidth="1"/>
  </cols>
  <sheetData>
    <row r="1" spans="1:14" s="2" customFormat="1" x14ac:dyDescent="0.35">
      <c r="A1" s="28" t="s">
        <v>0</v>
      </c>
      <c r="B1" s="2" t="s">
        <v>1</v>
      </c>
      <c r="C1" s="2" t="s">
        <v>125</v>
      </c>
      <c r="D1" s="2" t="s">
        <v>88</v>
      </c>
      <c r="E1" s="28" t="s">
        <v>3</v>
      </c>
      <c r="F1" s="28" t="s">
        <v>2</v>
      </c>
      <c r="G1" s="28" t="s">
        <v>126</v>
      </c>
      <c r="H1" s="28" t="s">
        <v>0</v>
      </c>
    </row>
    <row r="2" spans="1:14" s="2" customFormat="1" x14ac:dyDescent="0.35">
      <c r="A2" s="1" t="s">
        <v>96</v>
      </c>
      <c r="B2" t="s">
        <v>98</v>
      </c>
      <c r="C2"/>
      <c r="D2" t="s">
        <v>99</v>
      </c>
      <c r="E2" s="1" t="s">
        <v>97</v>
      </c>
      <c r="F2" s="1" t="s">
        <v>24</v>
      </c>
      <c r="G2" s="4">
        <v>2925</v>
      </c>
      <c r="H2" s="1" t="s">
        <v>96</v>
      </c>
    </row>
    <row r="3" spans="1:14" s="2" customFormat="1" x14ac:dyDescent="0.35">
      <c r="A3" s="1">
        <v>101236</v>
      </c>
      <c r="B3" t="s">
        <v>78</v>
      </c>
      <c r="C3">
        <v>24</v>
      </c>
      <c r="D3" t="s">
        <v>100</v>
      </c>
      <c r="E3" s="1" t="s">
        <v>20</v>
      </c>
      <c r="F3" s="1" t="s">
        <v>24</v>
      </c>
      <c r="G3" s="4">
        <v>309.38</v>
      </c>
      <c r="H3" s="1">
        <v>101236</v>
      </c>
    </row>
    <row r="4" spans="1:14" x14ac:dyDescent="0.35">
      <c r="A4" s="1">
        <v>101237</v>
      </c>
      <c r="B4" t="s">
        <v>79</v>
      </c>
      <c r="C4">
        <v>26</v>
      </c>
      <c r="D4" t="s">
        <v>100</v>
      </c>
      <c r="E4" s="1" t="s">
        <v>20</v>
      </c>
      <c r="F4" s="1" t="s">
        <v>24</v>
      </c>
      <c r="G4" s="4">
        <v>315.96000000000004</v>
      </c>
      <c r="H4" s="1">
        <v>101237</v>
      </c>
      <c r="N4" s="2"/>
    </row>
    <row r="5" spans="1:14" x14ac:dyDescent="0.35">
      <c r="A5" s="1">
        <v>101239</v>
      </c>
      <c r="B5" t="s">
        <v>80</v>
      </c>
      <c r="C5">
        <v>28</v>
      </c>
      <c r="D5" t="s">
        <v>100</v>
      </c>
      <c r="E5" s="1" t="s">
        <v>20</v>
      </c>
      <c r="F5" s="1" t="s">
        <v>24</v>
      </c>
      <c r="G5" s="4">
        <v>322.74</v>
      </c>
      <c r="H5" s="1">
        <v>101239</v>
      </c>
      <c r="N5" s="2"/>
    </row>
    <row r="6" spans="1:14" x14ac:dyDescent="0.35">
      <c r="A6" s="1">
        <v>101238</v>
      </c>
      <c r="B6" t="s">
        <v>81</v>
      </c>
      <c r="C6">
        <v>27.5</v>
      </c>
      <c r="D6" t="s">
        <v>100</v>
      </c>
      <c r="E6" s="1" t="s">
        <v>20</v>
      </c>
      <c r="F6" s="1" t="s">
        <v>24</v>
      </c>
      <c r="G6" s="4">
        <v>320.48500000000001</v>
      </c>
      <c r="H6" s="1">
        <v>101238</v>
      </c>
      <c r="N6" s="2"/>
    </row>
    <row r="7" spans="1:14" x14ac:dyDescent="0.35">
      <c r="A7" s="1">
        <v>101240</v>
      </c>
      <c r="B7" t="s">
        <v>82</v>
      </c>
      <c r="C7">
        <v>29</v>
      </c>
      <c r="D7" t="s">
        <v>100</v>
      </c>
      <c r="E7" s="1" t="s">
        <v>20</v>
      </c>
      <c r="F7" s="1" t="s">
        <v>24</v>
      </c>
      <c r="G7" s="4">
        <v>328</v>
      </c>
      <c r="H7" s="1">
        <v>101240</v>
      </c>
      <c r="N7" s="2"/>
    </row>
    <row r="8" spans="1:14" x14ac:dyDescent="0.35">
      <c r="A8" s="1">
        <v>101241</v>
      </c>
      <c r="B8" t="s">
        <v>101</v>
      </c>
      <c r="C8">
        <v>24</v>
      </c>
      <c r="D8" t="s">
        <v>100</v>
      </c>
      <c r="E8" s="1" t="s">
        <v>20</v>
      </c>
      <c r="F8" s="1" t="s">
        <v>24</v>
      </c>
      <c r="G8" s="4">
        <v>348.32</v>
      </c>
      <c r="H8" s="1">
        <v>101241</v>
      </c>
      <c r="N8" s="2"/>
    </row>
    <row r="9" spans="1:14" x14ac:dyDescent="0.35">
      <c r="A9" s="1">
        <v>101242</v>
      </c>
      <c r="B9" t="s">
        <v>102</v>
      </c>
      <c r="C9">
        <v>26</v>
      </c>
      <c r="D9" t="s">
        <v>100</v>
      </c>
      <c r="E9" s="1" t="s">
        <v>20</v>
      </c>
      <c r="F9" s="1" t="s">
        <v>24</v>
      </c>
      <c r="G9" s="4">
        <v>357.33999999999992</v>
      </c>
      <c r="H9" s="1">
        <v>101242</v>
      </c>
      <c r="N9" s="2"/>
    </row>
    <row r="10" spans="1:14" x14ac:dyDescent="0.35">
      <c r="A10" s="1">
        <v>101243</v>
      </c>
      <c r="B10" t="s">
        <v>103</v>
      </c>
      <c r="C10">
        <v>27.5</v>
      </c>
      <c r="D10" t="s">
        <v>100</v>
      </c>
      <c r="E10" s="1" t="s">
        <v>20</v>
      </c>
      <c r="F10" s="1" t="s">
        <v>24</v>
      </c>
      <c r="G10" s="4">
        <v>363.69499999999994</v>
      </c>
      <c r="H10" s="1">
        <v>101243</v>
      </c>
      <c r="N10" s="2"/>
    </row>
    <row r="11" spans="1:14" s="2" customFormat="1" x14ac:dyDescent="0.35">
      <c r="A11" s="1">
        <v>101244</v>
      </c>
      <c r="B11" t="s">
        <v>104</v>
      </c>
      <c r="C11">
        <v>28</v>
      </c>
      <c r="D11" t="s">
        <v>100</v>
      </c>
      <c r="E11" s="1" t="s">
        <v>20</v>
      </c>
      <c r="F11" s="1" t="s">
        <v>24</v>
      </c>
      <c r="G11" s="4">
        <v>366.55999999999995</v>
      </c>
      <c r="H11" s="1">
        <v>101244</v>
      </c>
    </row>
    <row r="12" spans="1:14" x14ac:dyDescent="0.35">
      <c r="A12" s="1">
        <v>101245</v>
      </c>
      <c r="B12" t="s">
        <v>105</v>
      </c>
      <c r="C12">
        <v>29</v>
      </c>
      <c r="D12" t="s">
        <v>100</v>
      </c>
      <c r="E12" s="1" t="s">
        <v>20</v>
      </c>
      <c r="F12" s="1" t="s">
        <v>24</v>
      </c>
      <c r="G12" s="4">
        <v>374.25999999999993</v>
      </c>
      <c r="H12" s="1">
        <v>101245</v>
      </c>
      <c r="N12" s="2"/>
    </row>
    <row r="13" spans="1:14" x14ac:dyDescent="0.35">
      <c r="A13" s="1">
        <v>101246</v>
      </c>
      <c r="B13" t="s">
        <v>106</v>
      </c>
      <c r="C13">
        <v>24</v>
      </c>
      <c r="D13" t="s">
        <v>100</v>
      </c>
      <c r="E13" s="1" t="s">
        <v>20</v>
      </c>
      <c r="F13" s="1" t="s">
        <v>24</v>
      </c>
      <c r="G13" s="4">
        <v>405.00999999999993</v>
      </c>
      <c r="H13" s="1">
        <v>101246</v>
      </c>
      <c r="N13" s="2"/>
    </row>
    <row r="14" spans="1:14" x14ac:dyDescent="0.35">
      <c r="A14" s="1">
        <v>101247</v>
      </c>
      <c r="B14" t="s">
        <v>107</v>
      </c>
      <c r="C14">
        <v>26</v>
      </c>
      <c r="D14" t="s">
        <v>100</v>
      </c>
      <c r="E14" s="1" t="s">
        <v>20</v>
      </c>
      <c r="F14" s="1" t="s">
        <v>24</v>
      </c>
      <c r="G14" s="4">
        <v>415.42999999999995</v>
      </c>
      <c r="H14" s="1">
        <v>101247</v>
      </c>
      <c r="N14" s="2"/>
    </row>
    <row r="15" spans="1:14" x14ac:dyDescent="0.35">
      <c r="A15" s="1">
        <v>101248</v>
      </c>
      <c r="B15" t="s">
        <v>108</v>
      </c>
      <c r="C15">
        <v>27.5</v>
      </c>
      <c r="D15" t="s">
        <v>100</v>
      </c>
      <c r="E15" s="1" t="s">
        <v>20</v>
      </c>
      <c r="F15" s="1" t="s">
        <v>24</v>
      </c>
      <c r="G15" s="4">
        <v>422.48499999999996</v>
      </c>
      <c r="H15" s="1">
        <v>101248</v>
      </c>
      <c r="N15" s="2"/>
    </row>
    <row r="16" spans="1:14" x14ac:dyDescent="0.35">
      <c r="A16" s="1">
        <v>101249</v>
      </c>
      <c r="B16" t="s">
        <v>109</v>
      </c>
      <c r="C16">
        <v>28</v>
      </c>
      <c r="D16" t="s">
        <v>100</v>
      </c>
      <c r="E16" s="1" t="s">
        <v>20</v>
      </c>
      <c r="F16" s="1" t="s">
        <v>24</v>
      </c>
      <c r="G16" s="4">
        <v>426.04999999999995</v>
      </c>
      <c r="H16" s="1">
        <v>101249</v>
      </c>
      <c r="N16" s="2"/>
    </row>
    <row r="17" spans="1:14" x14ac:dyDescent="0.35">
      <c r="A17" s="1">
        <v>101250</v>
      </c>
      <c r="B17" t="s">
        <v>83</v>
      </c>
      <c r="C17">
        <v>29</v>
      </c>
      <c r="D17" t="s">
        <v>100</v>
      </c>
      <c r="E17" s="1" t="s">
        <v>20</v>
      </c>
      <c r="F17" s="1" t="s">
        <v>24</v>
      </c>
      <c r="G17" s="4">
        <v>432.65999999999991</v>
      </c>
      <c r="H17" s="1">
        <v>101250</v>
      </c>
      <c r="N17" s="2"/>
    </row>
    <row r="18" spans="1:14" x14ac:dyDescent="0.35">
      <c r="A18" s="1">
        <v>101226</v>
      </c>
      <c r="B18" t="s">
        <v>4</v>
      </c>
      <c r="C18">
        <v>24</v>
      </c>
      <c r="D18" t="s">
        <v>110</v>
      </c>
      <c r="E18" s="1" t="s">
        <v>21</v>
      </c>
      <c r="F18" s="1" t="s">
        <v>24</v>
      </c>
      <c r="G18" s="4">
        <v>30.1</v>
      </c>
      <c r="H18" s="1">
        <v>101226</v>
      </c>
      <c r="N18" s="2"/>
    </row>
    <row r="19" spans="1:14" x14ac:dyDescent="0.35">
      <c r="A19" s="1">
        <v>101227</v>
      </c>
      <c r="B19" t="s">
        <v>25</v>
      </c>
      <c r="C19">
        <v>26</v>
      </c>
      <c r="D19" t="s">
        <v>110</v>
      </c>
      <c r="E19" s="1" t="s">
        <v>21</v>
      </c>
      <c r="F19" s="1" t="s">
        <v>24</v>
      </c>
      <c r="G19" s="4">
        <v>31.62</v>
      </c>
      <c r="H19" s="1">
        <v>101227</v>
      </c>
      <c r="N19" s="2"/>
    </row>
    <row r="20" spans="1:14" x14ac:dyDescent="0.35">
      <c r="A20" s="1">
        <v>101229</v>
      </c>
      <c r="B20" t="s">
        <v>31</v>
      </c>
      <c r="C20">
        <v>28</v>
      </c>
      <c r="D20" t="s">
        <v>110</v>
      </c>
      <c r="E20" s="1" t="s">
        <v>21</v>
      </c>
      <c r="F20" s="1" t="s">
        <v>24</v>
      </c>
      <c r="G20" s="4">
        <v>33.24</v>
      </c>
      <c r="H20" s="1">
        <v>101229</v>
      </c>
      <c r="N20" s="2"/>
    </row>
    <row r="21" spans="1:14" x14ac:dyDescent="0.35">
      <c r="A21" s="1">
        <v>101228</v>
      </c>
      <c r="B21" t="s">
        <v>36</v>
      </c>
      <c r="C21">
        <v>27.5</v>
      </c>
      <c r="D21" t="s">
        <v>110</v>
      </c>
      <c r="E21" s="1" t="s">
        <v>21</v>
      </c>
      <c r="F21" s="1" t="s">
        <v>24</v>
      </c>
      <c r="G21" s="4">
        <v>32.68</v>
      </c>
      <c r="H21" s="1">
        <v>101228</v>
      </c>
      <c r="N21" s="2"/>
    </row>
    <row r="22" spans="1:14" x14ac:dyDescent="0.35">
      <c r="A22" s="1">
        <v>101230</v>
      </c>
      <c r="B22" t="s">
        <v>41</v>
      </c>
      <c r="C22">
        <v>29</v>
      </c>
      <c r="D22" t="s">
        <v>110</v>
      </c>
      <c r="E22" s="1" t="s">
        <v>21</v>
      </c>
      <c r="F22" s="1" t="s">
        <v>24</v>
      </c>
      <c r="G22" s="4">
        <v>34.1</v>
      </c>
      <c r="H22" s="1">
        <v>101230</v>
      </c>
      <c r="N22" s="2"/>
    </row>
    <row r="23" spans="1:14" x14ac:dyDescent="0.35">
      <c r="A23" s="1">
        <v>101251</v>
      </c>
      <c r="B23" t="s">
        <v>12</v>
      </c>
      <c r="C23">
        <v>24</v>
      </c>
      <c r="D23" t="s">
        <v>111</v>
      </c>
      <c r="E23" s="1" t="s">
        <v>21</v>
      </c>
      <c r="F23" s="1" t="s">
        <v>24</v>
      </c>
      <c r="G23" s="4">
        <v>148.63999999999999</v>
      </c>
      <c r="H23" s="1">
        <v>101251</v>
      </c>
      <c r="N23" s="2"/>
    </row>
    <row r="24" spans="1:14" x14ac:dyDescent="0.35">
      <c r="A24" s="1">
        <v>101252</v>
      </c>
      <c r="B24" t="s">
        <v>30</v>
      </c>
      <c r="C24">
        <v>26</v>
      </c>
      <c r="D24" t="s">
        <v>111</v>
      </c>
      <c r="E24" s="1" t="s">
        <v>21</v>
      </c>
      <c r="F24" s="1" t="s">
        <v>24</v>
      </c>
      <c r="G24" s="4">
        <v>152.18</v>
      </c>
      <c r="H24" s="1">
        <v>101252</v>
      </c>
      <c r="N24" s="2"/>
    </row>
    <row r="25" spans="1:14" x14ac:dyDescent="0.35">
      <c r="A25" s="1">
        <v>101254</v>
      </c>
      <c r="B25" t="s">
        <v>46</v>
      </c>
      <c r="C25">
        <v>28</v>
      </c>
      <c r="D25" t="s">
        <v>111</v>
      </c>
      <c r="E25" s="1" t="s">
        <v>21</v>
      </c>
      <c r="F25" s="1" t="s">
        <v>24</v>
      </c>
      <c r="G25" s="4">
        <v>155.72</v>
      </c>
      <c r="H25" s="1">
        <v>101254</v>
      </c>
      <c r="N25" s="2"/>
    </row>
    <row r="26" spans="1:14" x14ac:dyDescent="0.35">
      <c r="A26" s="1">
        <v>101253</v>
      </c>
      <c r="B26" t="s">
        <v>47</v>
      </c>
      <c r="C26">
        <v>27.5</v>
      </c>
      <c r="D26" t="s">
        <v>111</v>
      </c>
      <c r="E26" s="1" t="s">
        <v>21</v>
      </c>
      <c r="F26" s="1" t="s">
        <v>24</v>
      </c>
      <c r="G26" s="4">
        <v>154.58499999999998</v>
      </c>
      <c r="H26" s="1">
        <v>101253</v>
      </c>
      <c r="N26" s="2"/>
    </row>
    <row r="27" spans="1:14" x14ac:dyDescent="0.35">
      <c r="A27" s="1">
        <v>101255</v>
      </c>
      <c r="B27" t="s">
        <v>48</v>
      </c>
      <c r="C27">
        <v>29</v>
      </c>
      <c r="D27" t="s">
        <v>111</v>
      </c>
      <c r="E27" s="1" t="s">
        <v>21</v>
      </c>
      <c r="F27" s="1" t="s">
        <v>24</v>
      </c>
      <c r="G27" s="4">
        <v>159.26</v>
      </c>
      <c r="H27" s="1">
        <v>101255</v>
      </c>
      <c r="N27" s="2"/>
    </row>
    <row r="28" spans="1:14" x14ac:dyDescent="0.35">
      <c r="A28" s="1">
        <v>101256</v>
      </c>
      <c r="B28" t="s">
        <v>51</v>
      </c>
      <c r="C28">
        <v>24</v>
      </c>
      <c r="D28" t="s">
        <v>111</v>
      </c>
      <c r="E28" s="1" t="s">
        <v>21</v>
      </c>
      <c r="F28" s="1" t="s">
        <v>24</v>
      </c>
      <c r="G28" s="4">
        <v>187.68</v>
      </c>
      <c r="H28" s="1">
        <v>101256</v>
      </c>
      <c r="N28" s="2"/>
    </row>
    <row r="29" spans="1:14" x14ac:dyDescent="0.35">
      <c r="A29" s="1">
        <v>101257</v>
      </c>
      <c r="B29" t="s">
        <v>52</v>
      </c>
      <c r="C29">
        <v>26</v>
      </c>
      <c r="D29" t="s">
        <v>111</v>
      </c>
      <c r="E29" s="1" t="s">
        <v>21</v>
      </c>
      <c r="F29" s="1" t="s">
        <v>24</v>
      </c>
      <c r="G29" s="4">
        <v>193.66</v>
      </c>
      <c r="H29" s="1">
        <v>101257</v>
      </c>
      <c r="N29" s="2"/>
    </row>
    <row r="30" spans="1:14" x14ac:dyDescent="0.35">
      <c r="A30" s="1">
        <v>101259</v>
      </c>
      <c r="B30" t="s">
        <v>53</v>
      </c>
      <c r="C30">
        <v>28</v>
      </c>
      <c r="D30" t="s">
        <v>111</v>
      </c>
      <c r="E30" s="1" t="s">
        <v>21</v>
      </c>
      <c r="F30" s="1" t="s">
        <v>24</v>
      </c>
      <c r="G30" s="4">
        <v>199.64</v>
      </c>
      <c r="H30" s="1">
        <v>101259</v>
      </c>
      <c r="N30" s="2"/>
    </row>
    <row r="31" spans="1:14" x14ac:dyDescent="0.35">
      <c r="A31" s="1">
        <v>101258</v>
      </c>
      <c r="B31" t="s">
        <v>54</v>
      </c>
      <c r="C31">
        <v>27.5</v>
      </c>
      <c r="D31" t="s">
        <v>111</v>
      </c>
      <c r="E31" s="1" t="s">
        <v>21</v>
      </c>
      <c r="F31" s="1" t="s">
        <v>24</v>
      </c>
      <c r="G31" s="4">
        <v>197.89499999999998</v>
      </c>
      <c r="H31" s="1">
        <v>101258</v>
      </c>
      <c r="N31" s="2"/>
    </row>
    <row r="32" spans="1:14" x14ac:dyDescent="0.35">
      <c r="A32" s="1">
        <v>101260</v>
      </c>
      <c r="B32" t="s">
        <v>55</v>
      </c>
      <c r="C32">
        <v>29</v>
      </c>
      <c r="D32" t="s">
        <v>111</v>
      </c>
      <c r="E32" s="1" t="s">
        <v>21</v>
      </c>
      <c r="F32" s="1" t="s">
        <v>24</v>
      </c>
      <c r="G32" s="4">
        <v>205.62</v>
      </c>
      <c r="H32" s="1">
        <v>101260</v>
      </c>
      <c r="N32" s="2"/>
    </row>
    <row r="33" spans="1:14" x14ac:dyDescent="0.35">
      <c r="A33" s="1">
        <v>101261</v>
      </c>
      <c r="B33" t="s">
        <v>56</v>
      </c>
      <c r="C33">
        <v>24</v>
      </c>
      <c r="D33" t="s">
        <v>111</v>
      </c>
      <c r="E33" s="1" t="s">
        <v>21</v>
      </c>
      <c r="F33" s="1" t="s">
        <v>24</v>
      </c>
      <c r="G33" s="4">
        <v>201.37</v>
      </c>
      <c r="H33" s="1">
        <v>101261</v>
      </c>
      <c r="N33" s="2"/>
    </row>
    <row r="34" spans="1:14" x14ac:dyDescent="0.35">
      <c r="A34" s="1">
        <v>101262</v>
      </c>
      <c r="B34" t="s">
        <v>57</v>
      </c>
      <c r="C34">
        <v>26</v>
      </c>
      <c r="D34" t="s">
        <v>111</v>
      </c>
      <c r="E34" s="1" t="s">
        <v>21</v>
      </c>
      <c r="F34" s="1" t="s">
        <v>24</v>
      </c>
      <c r="G34" s="4">
        <v>208.75</v>
      </c>
      <c r="H34" s="1">
        <v>101262</v>
      </c>
      <c r="N34" s="2"/>
    </row>
    <row r="35" spans="1:14" x14ac:dyDescent="0.35">
      <c r="A35" s="1">
        <v>101263</v>
      </c>
      <c r="B35" t="s">
        <v>58</v>
      </c>
      <c r="C35">
        <v>28</v>
      </c>
      <c r="D35" t="s">
        <v>111</v>
      </c>
      <c r="E35" s="1" t="s">
        <v>21</v>
      </c>
      <c r="F35" s="1" t="s">
        <v>24</v>
      </c>
      <c r="G35" s="4">
        <v>216.13</v>
      </c>
      <c r="H35" s="1">
        <v>101263</v>
      </c>
      <c r="N35" s="2"/>
    </row>
    <row r="36" spans="1:14" x14ac:dyDescent="0.35">
      <c r="A36" s="1">
        <v>101264</v>
      </c>
      <c r="B36" t="s">
        <v>59</v>
      </c>
      <c r="C36">
        <v>27.5</v>
      </c>
      <c r="D36" t="s">
        <v>111</v>
      </c>
      <c r="E36" s="1" t="s">
        <v>21</v>
      </c>
      <c r="F36" s="1" t="s">
        <v>24</v>
      </c>
      <c r="G36" s="4">
        <v>213.685</v>
      </c>
      <c r="H36" s="1">
        <v>101264</v>
      </c>
      <c r="N36" s="2"/>
    </row>
    <row r="37" spans="1:14" x14ac:dyDescent="0.35">
      <c r="A37" s="1">
        <v>101265</v>
      </c>
      <c r="B37" t="s">
        <v>60</v>
      </c>
      <c r="C37">
        <v>29</v>
      </c>
      <c r="D37" t="s">
        <v>111</v>
      </c>
      <c r="E37" s="1" t="s">
        <v>21</v>
      </c>
      <c r="F37" s="1" t="s">
        <v>24</v>
      </c>
      <c r="G37" s="4">
        <v>221.01999999999998</v>
      </c>
      <c r="H37" s="1">
        <v>101265</v>
      </c>
      <c r="N37" s="2"/>
    </row>
    <row r="38" spans="1:14" x14ac:dyDescent="0.35">
      <c r="A38" s="1">
        <v>101215</v>
      </c>
      <c r="B38" t="s">
        <v>124</v>
      </c>
      <c r="D38" t="s">
        <v>113</v>
      </c>
      <c r="E38" s="1" t="s">
        <v>22</v>
      </c>
      <c r="F38" s="1" t="s">
        <v>84</v>
      </c>
      <c r="G38" s="4">
        <v>12.7</v>
      </c>
      <c r="H38" s="1">
        <v>101215</v>
      </c>
      <c r="N38" s="2"/>
    </row>
    <row r="39" spans="1:14" x14ac:dyDescent="0.35">
      <c r="A39" s="1">
        <v>101276</v>
      </c>
      <c r="B39" t="s">
        <v>9</v>
      </c>
      <c r="D39" t="s">
        <v>118</v>
      </c>
      <c r="E39" s="1" t="s">
        <v>22</v>
      </c>
      <c r="F39" s="1" t="s">
        <v>24</v>
      </c>
      <c r="G39" s="4">
        <v>0.01</v>
      </c>
      <c r="H39" s="1">
        <v>101276</v>
      </c>
      <c r="N39" s="2"/>
    </row>
    <row r="40" spans="1:14" x14ac:dyDescent="0.35">
      <c r="A40" s="1">
        <v>101277</v>
      </c>
      <c r="B40" t="s">
        <v>10</v>
      </c>
      <c r="D40" t="s">
        <v>118</v>
      </c>
      <c r="E40" s="1" t="s">
        <v>22</v>
      </c>
      <c r="F40" s="1" t="s">
        <v>24</v>
      </c>
      <c r="G40" s="4">
        <v>0.01</v>
      </c>
      <c r="H40" s="1">
        <v>101277</v>
      </c>
      <c r="N40" s="2"/>
    </row>
    <row r="41" spans="1:14" x14ac:dyDescent="0.35">
      <c r="A41" s="1">
        <v>101223</v>
      </c>
      <c r="B41" t="s">
        <v>11</v>
      </c>
      <c r="D41" t="s">
        <v>118</v>
      </c>
      <c r="E41" s="1" t="s">
        <v>22</v>
      </c>
      <c r="F41" s="1" t="s">
        <v>24</v>
      </c>
      <c r="G41" s="4">
        <v>0.02</v>
      </c>
      <c r="H41" s="1">
        <v>101223</v>
      </c>
      <c r="N41" s="2"/>
    </row>
    <row r="42" spans="1:14" x14ac:dyDescent="0.35">
      <c r="A42" s="1">
        <v>101216</v>
      </c>
      <c r="B42" t="s">
        <v>18</v>
      </c>
      <c r="D42" t="s">
        <v>119</v>
      </c>
      <c r="E42" s="1" t="s">
        <v>22</v>
      </c>
      <c r="F42" s="1" t="s">
        <v>24</v>
      </c>
      <c r="G42" s="4">
        <v>16</v>
      </c>
      <c r="H42" s="1">
        <v>101216</v>
      </c>
      <c r="N42" s="2"/>
    </row>
    <row r="43" spans="1:14" x14ac:dyDescent="0.35">
      <c r="A43" s="1">
        <v>101214</v>
      </c>
      <c r="B43" t="s">
        <v>61</v>
      </c>
      <c r="D43" t="s">
        <v>112</v>
      </c>
      <c r="E43" s="1" t="s">
        <v>22</v>
      </c>
      <c r="F43" s="1" t="s">
        <v>84</v>
      </c>
      <c r="G43" s="4">
        <v>24.9</v>
      </c>
      <c r="H43" s="1">
        <v>101214</v>
      </c>
      <c r="N43" s="2"/>
    </row>
    <row r="44" spans="1:14" x14ac:dyDescent="0.35">
      <c r="A44" s="1">
        <v>101217</v>
      </c>
      <c r="B44" t="s">
        <v>8</v>
      </c>
      <c r="C44">
        <v>24</v>
      </c>
      <c r="D44" t="s">
        <v>114</v>
      </c>
      <c r="E44" s="1" t="s">
        <v>22</v>
      </c>
      <c r="F44" s="1" t="s">
        <v>24</v>
      </c>
      <c r="G44" s="4">
        <v>2</v>
      </c>
      <c r="H44" s="1">
        <v>101217</v>
      </c>
      <c r="N44" s="2"/>
    </row>
    <row r="45" spans="1:14" x14ac:dyDescent="0.35">
      <c r="A45" s="1">
        <v>101218</v>
      </c>
      <c r="B45" t="s">
        <v>29</v>
      </c>
      <c r="C45">
        <v>26</v>
      </c>
      <c r="D45" t="s">
        <v>114</v>
      </c>
      <c r="E45" s="1" t="s">
        <v>22</v>
      </c>
      <c r="F45" s="1" t="s">
        <v>24</v>
      </c>
      <c r="G45" s="4">
        <v>2.2000000000000002</v>
      </c>
      <c r="H45" s="1">
        <v>101218</v>
      </c>
      <c r="N45" s="2"/>
    </row>
    <row r="46" spans="1:14" x14ac:dyDescent="0.35">
      <c r="A46" s="1">
        <v>101220</v>
      </c>
      <c r="B46" t="s">
        <v>35</v>
      </c>
      <c r="C46">
        <v>28</v>
      </c>
      <c r="D46" t="s">
        <v>114</v>
      </c>
      <c r="E46" s="1" t="s">
        <v>22</v>
      </c>
      <c r="F46" s="1" t="s">
        <v>24</v>
      </c>
      <c r="G46" s="4">
        <v>2.4</v>
      </c>
      <c r="H46" s="1">
        <v>101220</v>
      </c>
      <c r="N46" s="2"/>
    </row>
    <row r="47" spans="1:14" x14ac:dyDescent="0.35">
      <c r="A47" s="1">
        <v>101219</v>
      </c>
      <c r="B47" t="s">
        <v>40</v>
      </c>
      <c r="C47">
        <v>27.5</v>
      </c>
      <c r="D47" t="s">
        <v>114</v>
      </c>
      <c r="E47" s="1" t="s">
        <v>22</v>
      </c>
      <c r="F47" s="1" t="s">
        <v>24</v>
      </c>
      <c r="G47" s="4">
        <v>2.35</v>
      </c>
      <c r="H47" s="1">
        <v>101219</v>
      </c>
      <c r="N47" s="2"/>
    </row>
    <row r="48" spans="1:14" x14ac:dyDescent="0.35">
      <c r="A48" s="1">
        <v>101221</v>
      </c>
      <c r="B48" t="s">
        <v>45</v>
      </c>
      <c r="C48">
        <v>29</v>
      </c>
      <c r="D48" t="s">
        <v>114</v>
      </c>
      <c r="E48" s="1" t="s">
        <v>22</v>
      </c>
      <c r="F48" s="1" t="s">
        <v>24</v>
      </c>
      <c r="G48" s="4">
        <v>2.5</v>
      </c>
      <c r="H48" s="1">
        <v>101221</v>
      </c>
      <c r="N48" s="2"/>
    </row>
    <row r="49" spans="1:14" x14ac:dyDescent="0.35">
      <c r="A49" s="1">
        <v>101222</v>
      </c>
      <c r="B49" t="s">
        <v>19</v>
      </c>
      <c r="D49" t="s">
        <v>120</v>
      </c>
      <c r="E49" s="1" t="s">
        <v>22</v>
      </c>
      <c r="F49" s="1" t="s">
        <v>24</v>
      </c>
      <c r="G49" s="4">
        <v>0.3</v>
      </c>
      <c r="H49" s="1">
        <v>101222</v>
      </c>
      <c r="N49" s="2"/>
    </row>
    <row r="50" spans="1:14" x14ac:dyDescent="0.35">
      <c r="A50" s="1">
        <v>101225</v>
      </c>
      <c r="B50" t="s">
        <v>14</v>
      </c>
      <c r="D50" t="s">
        <v>17</v>
      </c>
      <c r="E50" s="1" t="s">
        <v>22</v>
      </c>
      <c r="F50" s="1" t="s">
        <v>24</v>
      </c>
      <c r="G50" s="4">
        <v>12</v>
      </c>
      <c r="H50" s="1">
        <v>101225</v>
      </c>
      <c r="N50" s="2"/>
    </row>
    <row r="51" spans="1:14" x14ac:dyDescent="0.35">
      <c r="A51" s="1">
        <v>101224</v>
      </c>
      <c r="B51" t="s">
        <v>17</v>
      </c>
      <c r="D51" t="s">
        <v>17</v>
      </c>
      <c r="E51" s="1" t="s">
        <v>22</v>
      </c>
      <c r="F51" s="1" t="s">
        <v>24</v>
      </c>
      <c r="G51" s="4">
        <v>2</v>
      </c>
      <c r="H51" s="1">
        <v>101224</v>
      </c>
      <c r="N51" s="2"/>
    </row>
    <row r="52" spans="1:14" x14ac:dyDescent="0.35">
      <c r="A52" s="1">
        <v>101231</v>
      </c>
      <c r="B52" t="s">
        <v>13</v>
      </c>
      <c r="D52" t="s">
        <v>13</v>
      </c>
      <c r="E52" s="1" t="s">
        <v>22</v>
      </c>
      <c r="F52" s="1" t="s">
        <v>23</v>
      </c>
      <c r="G52" s="4">
        <v>10</v>
      </c>
      <c r="H52" s="1">
        <v>101231</v>
      </c>
      <c r="N52" s="2"/>
    </row>
    <row r="53" spans="1:14" x14ac:dyDescent="0.35">
      <c r="A53">
        <v>101286</v>
      </c>
      <c r="B53" t="s">
        <v>62</v>
      </c>
      <c r="D53" t="s">
        <v>13</v>
      </c>
      <c r="E53" s="1" t="s">
        <v>22</v>
      </c>
      <c r="F53" s="1" t="s">
        <v>23</v>
      </c>
      <c r="G53" s="4">
        <v>24</v>
      </c>
      <c r="H53">
        <v>101286</v>
      </c>
      <c r="N53" s="2"/>
    </row>
    <row r="54" spans="1:14" x14ac:dyDescent="0.35">
      <c r="A54" s="1">
        <v>101232</v>
      </c>
      <c r="B54" t="s">
        <v>87</v>
      </c>
      <c r="D54" t="s">
        <v>121</v>
      </c>
      <c r="E54" s="1" t="s">
        <v>22</v>
      </c>
      <c r="F54" s="1" t="s">
        <v>24</v>
      </c>
      <c r="G54" s="4">
        <v>22.5</v>
      </c>
      <c r="H54" s="1">
        <v>101232</v>
      </c>
      <c r="N54" s="2"/>
    </row>
    <row r="55" spans="1:14" x14ac:dyDescent="0.35">
      <c r="A55" s="1">
        <v>101233</v>
      </c>
      <c r="B55" t="s">
        <v>85</v>
      </c>
      <c r="D55" t="s">
        <v>121</v>
      </c>
      <c r="E55" s="1" t="s">
        <v>22</v>
      </c>
      <c r="F55" s="1" t="s">
        <v>24</v>
      </c>
      <c r="G55" s="4">
        <v>23</v>
      </c>
      <c r="H55" s="1">
        <v>101233</v>
      </c>
      <c r="N55" s="2"/>
    </row>
    <row r="56" spans="1:14" x14ac:dyDescent="0.35">
      <c r="A56" s="1">
        <v>101234</v>
      </c>
      <c r="B56" t="s">
        <v>86</v>
      </c>
      <c r="D56" t="s">
        <v>121</v>
      </c>
      <c r="E56" s="1" t="s">
        <v>22</v>
      </c>
      <c r="F56" s="1" t="s">
        <v>24</v>
      </c>
      <c r="G56" s="4">
        <v>49</v>
      </c>
      <c r="H56" s="1">
        <v>101234</v>
      </c>
      <c r="N56" s="2"/>
    </row>
    <row r="57" spans="1:14" x14ac:dyDescent="0.35">
      <c r="A57" s="1">
        <v>101235</v>
      </c>
      <c r="B57" t="s">
        <v>16</v>
      </c>
      <c r="D57" t="s">
        <v>122</v>
      </c>
      <c r="E57" s="1" t="s">
        <v>22</v>
      </c>
      <c r="F57" s="1" t="s">
        <v>24</v>
      </c>
      <c r="G57" s="4">
        <v>8</v>
      </c>
      <c r="H57" s="1">
        <v>101235</v>
      </c>
      <c r="N57" s="2"/>
    </row>
    <row r="58" spans="1:14" x14ac:dyDescent="0.35">
      <c r="A58" s="1">
        <v>101266</v>
      </c>
      <c r="B58" t="s">
        <v>5</v>
      </c>
      <c r="C58">
        <v>24</v>
      </c>
      <c r="D58" t="s">
        <v>115</v>
      </c>
      <c r="E58" s="1" t="s">
        <v>22</v>
      </c>
      <c r="F58" s="1" t="s">
        <v>24</v>
      </c>
      <c r="G58" s="4">
        <v>4</v>
      </c>
      <c r="H58" s="1">
        <v>101266</v>
      </c>
      <c r="N58" s="2"/>
    </row>
    <row r="59" spans="1:14" x14ac:dyDescent="0.35">
      <c r="A59" s="1">
        <v>101267</v>
      </c>
      <c r="B59" t="s">
        <v>26</v>
      </c>
      <c r="C59">
        <v>26</v>
      </c>
      <c r="D59" t="s">
        <v>115</v>
      </c>
      <c r="E59" s="1" t="s">
        <v>22</v>
      </c>
      <c r="F59" s="1" t="s">
        <v>24</v>
      </c>
      <c r="G59" s="4">
        <v>4.4000000000000004</v>
      </c>
      <c r="H59" s="1">
        <v>101267</v>
      </c>
      <c r="N59" s="2"/>
    </row>
    <row r="60" spans="1:14" x14ac:dyDescent="0.35">
      <c r="A60" s="1">
        <v>101269</v>
      </c>
      <c r="B60" t="s">
        <v>32</v>
      </c>
      <c r="C60">
        <v>28</v>
      </c>
      <c r="D60" t="s">
        <v>115</v>
      </c>
      <c r="E60" s="1" t="s">
        <v>22</v>
      </c>
      <c r="F60" s="1" t="s">
        <v>24</v>
      </c>
      <c r="G60" s="4">
        <v>4.8</v>
      </c>
      <c r="H60" s="1">
        <v>101269</v>
      </c>
      <c r="N60" s="2"/>
    </row>
    <row r="61" spans="1:14" x14ac:dyDescent="0.35">
      <c r="A61" s="1">
        <v>101268</v>
      </c>
      <c r="B61" t="s">
        <v>37</v>
      </c>
      <c r="C61">
        <v>27.5</v>
      </c>
      <c r="D61" t="s">
        <v>115</v>
      </c>
      <c r="E61" s="1" t="s">
        <v>22</v>
      </c>
      <c r="F61" s="1" t="s">
        <v>24</v>
      </c>
      <c r="G61" s="4">
        <v>4.7</v>
      </c>
      <c r="H61" s="1">
        <v>101268</v>
      </c>
      <c r="N61" s="2"/>
    </row>
    <row r="62" spans="1:14" x14ac:dyDescent="0.35">
      <c r="A62" s="1">
        <v>101270</v>
      </c>
      <c r="B62" t="s">
        <v>42</v>
      </c>
      <c r="C62">
        <v>29</v>
      </c>
      <c r="D62" t="s">
        <v>115</v>
      </c>
      <c r="E62" s="1" t="s">
        <v>22</v>
      </c>
      <c r="F62" s="1" t="s">
        <v>24</v>
      </c>
      <c r="G62" s="4">
        <v>5</v>
      </c>
      <c r="H62" s="1">
        <v>101270</v>
      </c>
      <c r="N62" s="2"/>
    </row>
    <row r="63" spans="1:14" x14ac:dyDescent="0.35">
      <c r="A63" s="1">
        <v>101271</v>
      </c>
      <c r="B63" t="s">
        <v>7</v>
      </c>
      <c r="C63">
        <v>24</v>
      </c>
      <c r="D63" t="s">
        <v>116</v>
      </c>
      <c r="E63" s="1" t="s">
        <v>22</v>
      </c>
      <c r="F63" s="1" t="s">
        <v>24</v>
      </c>
      <c r="G63" s="4">
        <v>1.9</v>
      </c>
      <c r="H63" s="1">
        <v>101271</v>
      </c>
      <c r="N63" s="2"/>
    </row>
    <row r="64" spans="1:14" x14ac:dyDescent="0.35">
      <c r="A64" s="1">
        <v>101272</v>
      </c>
      <c r="B64" t="s">
        <v>28</v>
      </c>
      <c r="C64">
        <v>26</v>
      </c>
      <c r="D64" t="s">
        <v>116</v>
      </c>
      <c r="E64" s="1" t="s">
        <v>22</v>
      </c>
      <c r="F64" s="1" t="s">
        <v>24</v>
      </c>
      <c r="G64" s="4">
        <v>2.1</v>
      </c>
      <c r="H64" s="1">
        <v>101272</v>
      </c>
      <c r="N64" s="2"/>
    </row>
    <row r="65" spans="1:14" x14ac:dyDescent="0.35">
      <c r="A65" s="1">
        <v>101274</v>
      </c>
      <c r="B65" t="s">
        <v>34</v>
      </c>
      <c r="C65">
        <v>28</v>
      </c>
      <c r="D65" t="s">
        <v>116</v>
      </c>
      <c r="E65" s="1" t="s">
        <v>22</v>
      </c>
      <c r="F65" s="1" t="s">
        <v>24</v>
      </c>
      <c r="G65" s="4">
        <v>2.4</v>
      </c>
      <c r="H65" s="1">
        <v>101274</v>
      </c>
      <c r="N65" s="2"/>
    </row>
    <row r="66" spans="1:14" x14ac:dyDescent="0.35">
      <c r="A66" s="1">
        <v>101273</v>
      </c>
      <c r="B66" t="s">
        <v>39</v>
      </c>
      <c r="C66">
        <v>27.5</v>
      </c>
      <c r="D66" t="s">
        <v>116</v>
      </c>
      <c r="E66" s="1" t="s">
        <v>22</v>
      </c>
      <c r="F66" s="1" t="s">
        <v>24</v>
      </c>
      <c r="G66" s="4">
        <v>2.35</v>
      </c>
      <c r="H66" s="1">
        <v>101273</v>
      </c>
      <c r="N66" s="2"/>
    </row>
    <row r="67" spans="1:14" x14ac:dyDescent="0.35">
      <c r="A67" s="1">
        <v>101275</v>
      </c>
      <c r="B67" t="s">
        <v>44</v>
      </c>
      <c r="C67">
        <v>29</v>
      </c>
      <c r="D67" t="s">
        <v>116</v>
      </c>
      <c r="E67" s="1" t="s">
        <v>22</v>
      </c>
      <c r="F67" s="1" t="s">
        <v>24</v>
      </c>
      <c r="G67" s="4">
        <v>2.6</v>
      </c>
      <c r="H67" s="1">
        <v>101275</v>
      </c>
      <c r="N67" s="2"/>
    </row>
    <row r="68" spans="1:14" x14ac:dyDescent="0.35">
      <c r="A68" s="1">
        <v>101278</v>
      </c>
      <c r="B68" t="s">
        <v>15</v>
      </c>
      <c r="D68" t="s">
        <v>123</v>
      </c>
      <c r="E68" s="1" t="s">
        <v>22</v>
      </c>
      <c r="F68" s="1" t="s">
        <v>24</v>
      </c>
      <c r="G68" s="4">
        <v>14.6</v>
      </c>
      <c r="H68" s="1">
        <v>101278</v>
      </c>
    </row>
    <row r="69" spans="1:14" x14ac:dyDescent="0.35">
      <c r="A69" s="1">
        <v>101279</v>
      </c>
      <c r="B69" t="s">
        <v>49</v>
      </c>
      <c r="D69" t="s">
        <v>123</v>
      </c>
      <c r="E69" s="1" t="s">
        <v>22</v>
      </c>
      <c r="F69" s="1" t="s">
        <v>24</v>
      </c>
      <c r="G69" s="4">
        <v>14</v>
      </c>
      <c r="H69" s="1">
        <v>101279</v>
      </c>
      <c r="N69" s="2"/>
    </row>
    <row r="70" spans="1:14" x14ac:dyDescent="0.35">
      <c r="A70" s="1">
        <v>101280</v>
      </c>
      <c r="B70" t="s">
        <v>50</v>
      </c>
      <c r="D70" t="s">
        <v>123</v>
      </c>
      <c r="E70" s="1" t="s">
        <v>22</v>
      </c>
      <c r="F70" s="1" t="s">
        <v>24</v>
      </c>
      <c r="G70" s="4">
        <v>31</v>
      </c>
      <c r="H70" s="1">
        <v>101280</v>
      </c>
      <c r="N70" s="2"/>
    </row>
    <row r="71" spans="1:14" x14ac:dyDescent="0.35">
      <c r="A71" s="1">
        <v>101281</v>
      </c>
      <c r="B71" t="s">
        <v>6</v>
      </c>
      <c r="C71">
        <v>24</v>
      </c>
      <c r="D71" t="s">
        <v>117</v>
      </c>
      <c r="E71" s="1" t="s">
        <v>22</v>
      </c>
      <c r="F71" s="1" t="s">
        <v>24</v>
      </c>
      <c r="G71" s="4">
        <v>0.2</v>
      </c>
      <c r="H71" s="1">
        <v>101281</v>
      </c>
      <c r="N71" s="2"/>
    </row>
    <row r="72" spans="1:14" x14ac:dyDescent="0.35">
      <c r="A72" s="1">
        <v>101282</v>
      </c>
      <c r="B72" t="s">
        <v>27</v>
      </c>
      <c r="C72">
        <v>26</v>
      </c>
      <c r="D72" t="s">
        <v>117</v>
      </c>
      <c r="E72" s="1" t="s">
        <v>22</v>
      </c>
      <c r="F72" s="1" t="s">
        <v>24</v>
      </c>
      <c r="G72" s="4">
        <v>0.22</v>
      </c>
      <c r="H72" s="1">
        <v>101282</v>
      </c>
      <c r="N72" s="2"/>
    </row>
    <row r="73" spans="1:14" x14ac:dyDescent="0.35">
      <c r="A73" s="1">
        <v>101284</v>
      </c>
      <c r="B73" t="s">
        <v>33</v>
      </c>
      <c r="C73">
        <v>28</v>
      </c>
      <c r="D73" t="s">
        <v>117</v>
      </c>
      <c r="E73" s="1" t="s">
        <v>22</v>
      </c>
      <c r="F73" s="1" t="s">
        <v>24</v>
      </c>
      <c r="G73" s="4">
        <v>0.24</v>
      </c>
      <c r="H73" s="1">
        <v>101284</v>
      </c>
      <c r="N73" s="2"/>
    </row>
    <row r="74" spans="1:14" x14ac:dyDescent="0.35">
      <c r="A74" s="1">
        <v>101283</v>
      </c>
      <c r="B74" t="s">
        <v>38</v>
      </c>
      <c r="C74">
        <v>27.5</v>
      </c>
      <c r="D74" t="s">
        <v>117</v>
      </c>
      <c r="E74" s="1" t="s">
        <v>22</v>
      </c>
      <c r="F74" s="1" t="s">
        <v>24</v>
      </c>
      <c r="G74" s="4">
        <v>0.23</v>
      </c>
      <c r="H74" s="1">
        <v>101283</v>
      </c>
      <c r="N74" s="2"/>
    </row>
    <row r="75" spans="1:14" x14ac:dyDescent="0.35">
      <c r="A75" s="1">
        <v>101285</v>
      </c>
      <c r="B75" t="s">
        <v>43</v>
      </c>
      <c r="C75">
        <v>29</v>
      </c>
      <c r="D75" t="s">
        <v>117</v>
      </c>
      <c r="E75" s="1" t="s">
        <v>22</v>
      </c>
      <c r="F75" s="1" t="s">
        <v>24</v>
      </c>
      <c r="G75" s="4">
        <v>0.25</v>
      </c>
      <c r="H75" s="1">
        <v>101285</v>
      </c>
    </row>
    <row r="76" spans="1:14" x14ac:dyDescent="0.35">
      <c r="A76" s="1" t="s">
        <v>89</v>
      </c>
      <c r="B76" t="s">
        <v>91</v>
      </c>
      <c r="D76" t="s">
        <v>92</v>
      </c>
      <c r="E76" s="1" t="s">
        <v>90</v>
      </c>
      <c r="F76" s="1" t="s">
        <v>93</v>
      </c>
      <c r="G76" s="4">
        <v>0.75</v>
      </c>
      <c r="H76" s="1" t="s">
        <v>89</v>
      </c>
    </row>
    <row r="77" spans="1:14" x14ac:dyDescent="0.35">
      <c r="A77" s="1" t="s">
        <v>94</v>
      </c>
      <c r="B77" t="s">
        <v>95</v>
      </c>
      <c r="D77" t="s">
        <v>92</v>
      </c>
      <c r="E77" s="1" t="s">
        <v>90</v>
      </c>
      <c r="F77" s="1" t="s">
        <v>93</v>
      </c>
      <c r="G77" s="4">
        <v>1.24</v>
      </c>
      <c r="H77" s="1" t="s">
        <v>94</v>
      </c>
    </row>
  </sheetData>
  <sortState xmlns:xlrd2="http://schemas.microsoft.com/office/spreadsheetml/2017/richdata2" ref="A2:G77">
    <sortCondition ref="E2:E77"/>
  </sortState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524E-A8B0-49EC-87CD-FBC85633C737}">
  <sheetPr>
    <tabColor theme="9" tint="0.79998168889431442"/>
  </sheetPr>
  <dimension ref="A1:D7"/>
  <sheetViews>
    <sheetView workbookViewId="0">
      <selection activeCell="E12" sqref="E12"/>
    </sheetView>
  </sheetViews>
  <sheetFormatPr baseColWidth="10" defaultRowHeight="14.5" x14ac:dyDescent="0.35"/>
  <cols>
    <col min="1" max="1" width="17.1796875" customWidth="1"/>
    <col min="2" max="2" width="16.453125" customWidth="1"/>
    <col min="3" max="3" width="15.54296875" customWidth="1"/>
    <col min="4" max="4" width="13.6328125" customWidth="1"/>
  </cols>
  <sheetData>
    <row r="1" spans="1:4" x14ac:dyDescent="0.35">
      <c r="A1" t="s">
        <v>68</v>
      </c>
      <c r="B1" t="s">
        <v>69</v>
      </c>
      <c r="C1" s="1" t="s">
        <v>75</v>
      </c>
      <c r="D1" s="1" t="s">
        <v>77</v>
      </c>
    </row>
    <row r="2" spans="1:4" x14ac:dyDescent="0.35">
      <c r="A2" t="s">
        <v>72</v>
      </c>
      <c r="B2" t="s">
        <v>70</v>
      </c>
      <c r="C2" s="1" t="s">
        <v>76</v>
      </c>
      <c r="D2">
        <v>10</v>
      </c>
    </row>
    <row r="3" spans="1:4" x14ac:dyDescent="0.35">
      <c r="A3" t="s">
        <v>72</v>
      </c>
      <c r="B3" t="s">
        <v>71</v>
      </c>
      <c r="C3" s="1" t="s">
        <v>76</v>
      </c>
      <c r="D3">
        <v>60</v>
      </c>
    </row>
    <row r="4" spans="1:4" x14ac:dyDescent="0.35">
      <c r="A4" t="s">
        <v>74</v>
      </c>
      <c r="B4" t="s">
        <v>70</v>
      </c>
      <c r="C4" s="1" t="s">
        <v>76</v>
      </c>
      <c r="D4">
        <v>26</v>
      </c>
    </row>
    <row r="5" spans="1:4" x14ac:dyDescent="0.35">
      <c r="A5" t="s">
        <v>74</v>
      </c>
      <c r="B5" t="s">
        <v>71</v>
      </c>
      <c r="C5" s="1" t="s">
        <v>76</v>
      </c>
      <c r="D5">
        <v>60</v>
      </c>
    </row>
    <row r="6" spans="1:4" x14ac:dyDescent="0.35">
      <c r="A6" t="s">
        <v>73</v>
      </c>
      <c r="B6" t="s">
        <v>70</v>
      </c>
      <c r="C6" s="1" t="s">
        <v>76</v>
      </c>
      <c r="D6">
        <v>28</v>
      </c>
    </row>
    <row r="7" spans="1:4" x14ac:dyDescent="0.35">
      <c r="A7" t="s">
        <v>73</v>
      </c>
      <c r="B7" t="s">
        <v>71</v>
      </c>
      <c r="C7" s="1" t="s">
        <v>76</v>
      </c>
      <c r="D7">
        <v>60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509A1-4D1C-4C27-947C-476309A46531}">
  <sheetPr>
    <tabColor theme="5" tint="0.79998168889431442"/>
  </sheetPr>
  <dimension ref="A1:J40"/>
  <sheetViews>
    <sheetView workbookViewId="0">
      <selection activeCell="J8" sqref="J8"/>
    </sheetView>
  </sheetViews>
  <sheetFormatPr baseColWidth="10" defaultRowHeight="14.5" x14ac:dyDescent="0.35"/>
  <cols>
    <col min="1" max="1" width="6.81640625" bestFit="1" customWidth="1"/>
    <col min="2" max="2" width="15.08984375" bestFit="1" customWidth="1"/>
    <col min="3" max="3" width="14.81640625" bestFit="1" customWidth="1"/>
    <col min="4" max="4" width="13.453125" style="6" bestFit="1" customWidth="1"/>
    <col min="5" max="5" width="6.54296875" style="1" bestFit="1" customWidth="1"/>
    <col min="6" max="6" width="4.7265625" customWidth="1"/>
    <col min="7" max="7" width="7.453125" style="1" customWidth="1"/>
    <col min="8" max="8" width="12.7265625" style="1" bestFit="1" customWidth="1"/>
  </cols>
  <sheetData>
    <row r="1" spans="1:10" x14ac:dyDescent="0.35">
      <c r="C1" s="2" t="s">
        <v>132</v>
      </c>
      <c r="D1" s="29" t="s">
        <v>133</v>
      </c>
      <c r="E1" s="28" t="s">
        <v>64</v>
      </c>
      <c r="F1" s="2" t="s">
        <v>67</v>
      </c>
      <c r="G1" s="28" t="s">
        <v>65</v>
      </c>
      <c r="H1" s="28" t="s">
        <v>66</v>
      </c>
    </row>
    <row r="2" spans="1:10" s="2" customFormat="1" x14ac:dyDescent="0.35">
      <c r="A2" s="25">
        <v>101226</v>
      </c>
      <c r="B2" s="25" t="s">
        <v>4</v>
      </c>
      <c r="C2" s="25"/>
      <c r="D2" s="30"/>
      <c r="E2" s="26"/>
      <c r="F2" s="25"/>
      <c r="G2" s="26"/>
      <c r="H2" s="27">
        <v>30.1</v>
      </c>
    </row>
    <row r="3" spans="1:10" x14ac:dyDescent="0.35">
      <c r="A3" s="22"/>
      <c r="B3" s="22"/>
      <c r="C3" s="22" t="s">
        <v>5</v>
      </c>
      <c r="D3" s="31">
        <f>VLOOKUP(C3,Materialstamm!B:H,7,0)</f>
        <v>101266</v>
      </c>
      <c r="E3" s="23">
        <v>1</v>
      </c>
      <c r="F3" s="22" t="s">
        <v>24</v>
      </c>
      <c r="G3" s="22">
        <v>4</v>
      </c>
      <c r="H3" s="24">
        <v>4</v>
      </c>
    </row>
    <row r="4" spans="1:10" x14ac:dyDescent="0.35">
      <c r="A4" s="22"/>
      <c r="B4" s="22"/>
      <c r="C4" s="22" t="s">
        <v>6</v>
      </c>
      <c r="D4" s="31">
        <f>VLOOKUP(C4,Materialstamm!B:H,7,0)</f>
        <v>101281</v>
      </c>
      <c r="E4" s="23">
        <v>36</v>
      </c>
      <c r="F4" s="22" t="s">
        <v>24</v>
      </c>
      <c r="G4" s="22">
        <v>0.2</v>
      </c>
      <c r="H4" s="24">
        <v>7.2</v>
      </c>
    </row>
    <row r="5" spans="1:10" x14ac:dyDescent="0.35">
      <c r="A5" s="22"/>
      <c r="B5" s="22"/>
      <c r="C5" s="22" t="s">
        <v>7</v>
      </c>
      <c r="D5" s="31">
        <f>VLOOKUP(C5,Materialstamm!B:H,7,0)</f>
        <v>101271</v>
      </c>
      <c r="E5" s="23">
        <v>1</v>
      </c>
      <c r="F5" s="22" t="s">
        <v>24</v>
      </c>
      <c r="G5" s="22">
        <v>1.9</v>
      </c>
      <c r="H5" s="24">
        <v>1.9</v>
      </c>
    </row>
    <row r="6" spans="1:10" x14ac:dyDescent="0.35">
      <c r="A6" s="22"/>
      <c r="B6" s="22"/>
      <c r="C6" s="22" t="s">
        <v>8</v>
      </c>
      <c r="D6" s="31">
        <f>VLOOKUP(C6,Materialstamm!B:H,7,0)</f>
        <v>101217</v>
      </c>
      <c r="E6" s="23">
        <v>1</v>
      </c>
      <c r="F6" s="22" t="s">
        <v>24</v>
      </c>
      <c r="G6" s="22">
        <v>2</v>
      </c>
      <c r="H6" s="24">
        <v>2</v>
      </c>
    </row>
    <row r="7" spans="1:10" x14ac:dyDescent="0.35">
      <c r="A7" s="22"/>
      <c r="B7" s="22"/>
      <c r="C7" s="22" t="s">
        <v>70</v>
      </c>
      <c r="D7" s="31" t="s">
        <v>72</v>
      </c>
      <c r="E7" s="23">
        <v>0.15</v>
      </c>
      <c r="F7" s="22" t="s">
        <v>76</v>
      </c>
      <c r="G7" s="23">
        <v>10</v>
      </c>
      <c r="H7" s="24">
        <v>1.5</v>
      </c>
    </row>
    <row r="8" spans="1:10" x14ac:dyDescent="0.35">
      <c r="A8" s="22"/>
      <c r="B8" s="22"/>
      <c r="C8" s="22" t="s">
        <v>63</v>
      </c>
      <c r="D8" s="31" t="s">
        <v>72</v>
      </c>
      <c r="E8" s="23">
        <v>0.22500000000000001</v>
      </c>
      <c r="F8" s="22" t="s">
        <v>76</v>
      </c>
      <c r="G8" s="23">
        <v>60</v>
      </c>
      <c r="H8" s="24">
        <v>13.5</v>
      </c>
    </row>
    <row r="10" spans="1:10" s="2" customFormat="1" x14ac:dyDescent="0.35">
      <c r="A10" s="25">
        <v>101227</v>
      </c>
      <c r="B10" s="25" t="s">
        <v>25</v>
      </c>
      <c r="C10" s="25"/>
      <c r="D10" s="30"/>
      <c r="E10" s="26"/>
      <c r="F10" s="25"/>
      <c r="G10" s="26"/>
      <c r="H10" s="27">
        <v>31.62</v>
      </c>
    </row>
    <row r="11" spans="1:10" x14ac:dyDescent="0.35">
      <c r="A11" s="22"/>
      <c r="B11" s="22"/>
      <c r="C11" s="22" t="s">
        <v>26</v>
      </c>
      <c r="D11" s="31">
        <f>VLOOKUP(C11,Materialstamm!B:H,7,0)</f>
        <v>101267</v>
      </c>
      <c r="E11" s="23">
        <v>1</v>
      </c>
      <c r="F11" s="22" t="s">
        <v>24</v>
      </c>
      <c r="G11" s="22">
        <v>4.4000000000000004</v>
      </c>
      <c r="H11" s="24">
        <v>4.4000000000000004</v>
      </c>
    </row>
    <row r="12" spans="1:10" x14ac:dyDescent="0.35">
      <c r="A12" s="22"/>
      <c r="B12" s="22"/>
      <c r="C12" s="22" t="s">
        <v>27</v>
      </c>
      <c r="D12" s="31">
        <f>VLOOKUP(C12,Materialstamm!B:H,7,0)</f>
        <v>101282</v>
      </c>
      <c r="E12" s="23">
        <v>36</v>
      </c>
      <c r="F12" s="22" t="s">
        <v>24</v>
      </c>
      <c r="G12" s="22">
        <v>0.22</v>
      </c>
      <c r="H12" s="24">
        <v>7.92</v>
      </c>
      <c r="J12" s="5"/>
    </row>
    <row r="13" spans="1:10" x14ac:dyDescent="0.35">
      <c r="A13" s="22"/>
      <c r="B13" s="22"/>
      <c r="C13" s="22" t="s">
        <v>28</v>
      </c>
      <c r="D13" s="31">
        <f>VLOOKUP(C13,Materialstamm!B:H,7,0)</f>
        <v>101272</v>
      </c>
      <c r="E13" s="23">
        <v>1</v>
      </c>
      <c r="F13" s="22" t="s">
        <v>24</v>
      </c>
      <c r="G13" s="22">
        <v>2.1</v>
      </c>
      <c r="H13" s="24">
        <v>2.1</v>
      </c>
    </row>
    <row r="14" spans="1:10" x14ac:dyDescent="0.35">
      <c r="A14" s="22"/>
      <c r="B14" s="22"/>
      <c r="C14" s="22" t="s">
        <v>29</v>
      </c>
      <c r="D14" s="31">
        <f>VLOOKUP(C14,Materialstamm!B:H,7,0)</f>
        <v>101218</v>
      </c>
      <c r="E14" s="23">
        <v>1</v>
      </c>
      <c r="F14" s="22" t="s">
        <v>24</v>
      </c>
      <c r="G14" s="22">
        <v>2.2000000000000002</v>
      </c>
      <c r="H14" s="24">
        <v>2.2000000000000002</v>
      </c>
    </row>
    <row r="15" spans="1:10" x14ac:dyDescent="0.35">
      <c r="A15" s="22"/>
      <c r="B15" s="22"/>
      <c r="C15" s="22" t="s">
        <v>70</v>
      </c>
      <c r="D15" s="31" t="s">
        <v>72</v>
      </c>
      <c r="E15" s="23">
        <v>0.15</v>
      </c>
      <c r="F15" s="22" t="s">
        <v>76</v>
      </c>
      <c r="G15" s="23">
        <v>10</v>
      </c>
      <c r="H15" s="24">
        <v>1.5</v>
      </c>
    </row>
    <row r="16" spans="1:10" x14ac:dyDescent="0.35">
      <c r="A16" s="22"/>
      <c r="B16" s="22"/>
      <c r="C16" s="22" t="s">
        <v>63</v>
      </c>
      <c r="D16" s="31" t="s">
        <v>72</v>
      </c>
      <c r="E16" s="23">
        <v>0.22500000000000001</v>
      </c>
      <c r="F16" s="22" t="s">
        <v>76</v>
      </c>
      <c r="G16" s="23">
        <v>60</v>
      </c>
      <c r="H16" s="24">
        <v>13.5</v>
      </c>
    </row>
    <row r="18" spans="1:8" s="2" customFormat="1" x14ac:dyDescent="0.35">
      <c r="A18" s="25">
        <v>101229</v>
      </c>
      <c r="B18" s="25" t="s">
        <v>31</v>
      </c>
      <c r="C18" s="25"/>
      <c r="D18" s="30"/>
      <c r="E18" s="26"/>
      <c r="F18" s="25"/>
      <c r="G18" s="26"/>
      <c r="H18" s="27">
        <v>33.24</v>
      </c>
    </row>
    <row r="19" spans="1:8" x14ac:dyDescent="0.35">
      <c r="A19" s="22"/>
      <c r="B19" s="22"/>
      <c r="C19" s="22" t="s">
        <v>32</v>
      </c>
      <c r="D19" s="31">
        <f>VLOOKUP(C19,Materialstamm!B:H,7,0)</f>
        <v>101269</v>
      </c>
      <c r="E19" s="23">
        <v>1</v>
      </c>
      <c r="F19" s="22" t="s">
        <v>24</v>
      </c>
      <c r="G19" s="22">
        <v>4.8</v>
      </c>
      <c r="H19" s="24">
        <v>4.8</v>
      </c>
    </row>
    <row r="20" spans="1:8" x14ac:dyDescent="0.35">
      <c r="A20" s="22"/>
      <c r="B20" s="22"/>
      <c r="C20" s="22" t="s">
        <v>33</v>
      </c>
      <c r="D20" s="31">
        <f>VLOOKUP(C20,Materialstamm!B:H,7,0)</f>
        <v>101284</v>
      </c>
      <c r="E20" s="23">
        <v>36</v>
      </c>
      <c r="F20" s="22" t="s">
        <v>24</v>
      </c>
      <c r="G20" s="22">
        <v>0.24</v>
      </c>
      <c r="H20" s="24">
        <v>8.64</v>
      </c>
    </row>
    <row r="21" spans="1:8" x14ac:dyDescent="0.35">
      <c r="A21" s="22"/>
      <c r="B21" s="22"/>
      <c r="C21" s="22" t="s">
        <v>34</v>
      </c>
      <c r="D21" s="31">
        <f>VLOOKUP(C21,Materialstamm!B:H,7,0)</f>
        <v>101274</v>
      </c>
      <c r="E21" s="23">
        <v>1</v>
      </c>
      <c r="F21" s="22" t="s">
        <v>24</v>
      </c>
      <c r="G21" s="22">
        <v>2.4</v>
      </c>
      <c r="H21" s="24">
        <v>2.4</v>
      </c>
    </row>
    <row r="22" spans="1:8" x14ac:dyDescent="0.35">
      <c r="A22" s="22"/>
      <c r="B22" s="22"/>
      <c r="C22" s="22" t="s">
        <v>35</v>
      </c>
      <c r="D22" s="31">
        <f>VLOOKUP(C22,Materialstamm!B:H,7,0)</f>
        <v>101220</v>
      </c>
      <c r="E22" s="23">
        <v>1</v>
      </c>
      <c r="F22" s="22" t="s">
        <v>24</v>
      </c>
      <c r="G22" s="22">
        <v>2.4</v>
      </c>
      <c r="H22" s="24">
        <v>2.4</v>
      </c>
    </row>
    <row r="23" spans="1:8" x14ac:dyDescent="0.35">
      <c r="A23" s="22"/>
      <c r="B23" s="22"/>
      <c r="C23" s="22" t="s">
        <v>70</v>
      </c>
      <c r="D23" s="31" t="s">
        <v>72</v>
      </c>
      <c r="E23" s="23">
        <v>0.15</v>
      </c>
      <c r="F23" s="22" t="s">
        <v>76</v>
      </c>
      <c r="G23" s="23">
        <v>10</v>
      </c>
      <c r="H23" s="24">
        <v>1.5</v>
      </c>
    </row>
    <row r="24" spans="1:8" x14ac:dyDescent="0.35">
      <c r="A24" s="22"/>
      <c r="B24" s="22"/>
      <c r="C24" s="22" t="s">
        <v>63</v>
      </c>
      <c r="D24" s="31" t="s">
        <v>72</v>
      </c>
      <c r="E24" s="23">
        <v>0.22500000000000001</v>
      </c>
      <c r="F24" s="22" t="s">
        <v>76</v>
      </c>
      <c r="G24" s="23">
        <v>60</v>
      </c>
      <c r="H24" s="24">
        <v>13.5</v>
      </c>
    </row>
    <row r="26" spans="1:8" s="2" customFormat="1" x14ac:dyDescent="0.35">
      <c r="A26" s="25">
        <v>101228</v>
      </c>
      <c r="B26" s="25" t="s">
        <v>36</v>
      </c>
      <c r="C26" s="25"/>
      <c r="D26" s="30"/>
      <c r="E26" s="26"/>
      <c r="F26" s="25"/>
      <c r="G26" s="26"/>
      <c r="H26" s="27">
        <v>32.68</v>
      </c>
    </row>
    <row r="27" spans="1:8" x14ac:dyDescent="0.35">
      <c r="A27" s="22"/>
      <c r="B27" s="22"/>
      <c r="C27" s="22" t="s">
        <v>37</v>
      </c>
      <c r="D27" s="31">
        <f>VLOOKUP(C27,Materialstamm!B:H,7,0)</f>
        <v>101268</v>
      </c>
      <c r="E27" s="23">
        <v>1</v>
      </c>
      <c r="F27" s="22" t="s">
        <v>24</v>
      </c>
      <c r="G27" s="22">
        <v>4.7</v>
      </c>
      <c r="H27" s="24">
        <v>4.7</v>
      </c>
    </row>
    <row r="28" spans="1:8" x14ac:dyDescent="0.35">
      <c r="A28" s="22"/>
      <c r="B28" s="22"/>
      <c r="C28" s="22" t="s">
        <v>38</v>
      </c>
      <c r="D28" s="31">
        <f>VLOOKUP(C28,Materialstamm!B:H,7,0)</f>
        <v>101283</v>
      </c>
      <c r="E28" s="23">
        <v>36</v>
      </c>
      <c r="F28" s="22" t="s">
        <v>24</v>
      </c>
      <c r="G28" s="22">
        <v>0.23</v>
      </c>
      <c r="H28" s="24">
        <v>8.2800000000000011</v>
      </c>
    </row>
    <row r="29" spans="1:8" x14ac:dyDescent="0.35">
      <c r="A29" s="22"/>
      <c r="B29" s="22"/>
      <c r="C29" s="22" t="s">
        <v>39</v>
      </c>
      <c r="D29" s="31">
        <f>VLOOKUP(C29,Materialstamm!B:H,7,0)</f>
        <v>101273</v>
      </c>
      <c r="E29" s="23">
        <v>1</v>
      </c>
      <c r="F29" s="22" t="s">
        <v>24</v>
      </c>
      <c r="G29" s="22">
        <v>2.35</v>
      </c>
      <c r="H29" s="24">
        <v>2.35</v>
      </c>
    </row>
    <row r="30" spans="1:8" x14ac:dyDescent="0.35">
      <c r="A30" s="22"/>
      <c r="B30" s="22"/>
      <c r="C30" s="22" t="s">
        <v>40</v>
      </c>
      <c r="D30" s="31">
        <f>VLOOKUP(C30,Materialstamm!B:H,7,0)</f>
        <v>101219</v>
      </c>
      <c r="E30" s="23">
        <v>1</v>
      </c>
      <c r="F30" s="22" t="s">
        <v>24</v>
      </c>
      <c r="G30" s="22">
        <v>2.35</v>
      </c>
      <c r="H30" s="24">
        <v>2.35</v>
      </c>
    </row>
    <row r="31" spans="1:8" x14ac:dyDescent="0.35">
      <c r="A31" s="22"/>
      <c r="B31" s="22"/>
      <c r="C31" s="22" t="s">
        <v>70</v>
      </c>
      <c r="D31" s="31" t="s">
        <v>72</v>
      </c>
      <c r="E31" s="23">
        <v>0.15</v>
      </c>
      <c r="F31" s="22" t="s">
        <v>76</v>
      </c>
      <c r="G31" s="23">
        <v>10</v>
      </c>
      <c r="H31" s="24">
        <v>1.5</v>
      </c>
    </row>
    <row r="32" spans="1:8" x14ac:dyDescent="0.35">
      <c r="A32" s="22"/>
      <c r="B32" s="22"/>
      <c r="C32" s="22" t="s">
        <v>63</v>
      </c>
      <c r="D32" s="31" t="s">
        <v>72</v>
      </c>
      <c r="E32" s="23">
        <v>0.22500000000000001</v>
      </c>
      <c r="F32" s="22" t="s">
        <v>76</v>
      </c>
      <c r="G32" s="23">
        <v>60</v>
      </c>
      <c r="H32" s="24">
        <v>13.5</v>
      </c>
    </row>
    <row r="34" spans="1:8" s="2" customFormat="1" x14ac:dyDescent="0.35">
      <c r="A34" s="25">
        <v>101230</v>
      </c>
      <c r="B34" s="25" t="s">
        <v>41</v>
      </c>
      <c r="C34" s="25"/>
      <c r="D34" s="30"/>
      <c r="E34" s="26"/>
      <c r="F34" s="25"/>
      <c r="G34" s="26"/>
      <c r="H34" s="27">
        <v>34.1</v>
      </c>
    </row>
    <row r="35" spans="1:8" x14ac:dyDescent="0.35">
      <c r="A35" s="22"/>
      <c r="B35" s="22"/>
      <c r="C35" s="22" t="s">
        <v>42</v>
      </c>
      <c r="D35" s="31">
        <f>VLOOKUP(C35,Materialstamm!B:H,7,0)</f>
        <v>101270</v>
      </c>
      <c r="E35" s="23">
        <v>1</v>
      </c>
      <c r="F35" s="22"/>
      <c r="G35" s="22">
        <v>5</v>
      </c>
      <c r="H35" s="24">
        <v>5</v>
      </c>
    </row>
    <row r="36" spans="1:8" x14ac:dyDescent="0.35">
      <c r="A36" s="22"/>
      <c r="B36" s="22"/>
      <c r="C36" s="22" t="s">
        <v>43</v>
      </c>
      <c r="D36" s="31">
        <f>VLOOKUP(C36,Materialstamm!B:H,7,0)</f>
        <v>101285</v>
      </c>
      <c r="E36" s="23">
        <v>36</v>
      </c>
      <c r="F36" s="22"/>
      <c r="G36" s="22">
        <v>0.25</v>
      </c>
      <c r="H36" s="24">
        <v>9</v>
      </c>
    </row>
    <row r="37" spans="1:8" x14ac:dyDescent="0.35">
      <c r="A37" s="22"/>
      <c r="B37" s="22"/>
      <c r="C37" s="22" t="s">
        <v>44</v>
      </c>
      <c r="D37" s="31">
        <f>VLOOKUP(C37,Materialstamm!B:H,7,0)</f>
        <v>101275</v>
      </c>
      <c r="E37" s="23">
        <v>1</v>
      </c>
      <c r="F37" s="22"/>
      <c r="G37" s="22">
        <v>2.6</v>
      </c>
      <c r="H37" s="24">
        <v>2.6</v>
      </c>
    </row>
    <row r="38" spans="1:8" x14ac:dyDescent="0.35">
      <c r="A38" s="22"/>
      <c r="B38" s="22"/>
      <c r="C38" s="22" t="s">
        <v>45</v>
      </c>
      <c r="D38" s="31">
        <f>VLOOKUP(C38,Materialstamm!B:H,7,0)</f>
        <v>101221</v>
      </c>
      <c r="E38" s="23">
        <v>1</v>
      </c>
      <c r="F38" s="22"/>
      <c r="G38" s="22">
        <v>2.5</v>
      </c>
      <c r="H38" s="24">
        <v>2.5</v>
      </c>
    </row>
    <row r="39" spans="1:8" x14ac:dyDescent="0.35">
      <c r="A39" s="22"/>
      <c r="B39" s="22"/>
      <c r="C39" s="22" t="s">
        <v>70</v>
      </c>
      <c r="D39" s="31" t="s">
        <v>72</v>
      </c>
      <c r="E39" s="23">
        <v>0.15</v>
      </c>
      <c r="F39" s="22" t="s">
        <v>76</v>
      </c>
      <c r="G39" s="23">
        <v>10</v>
      </c>
      <c r="H39" s="24">
        <v>1.5</v>
      </c>
    </row>
    <row r="40" spans="1:8" x14ac:dyDescent="0.35">
      <c r="A40" s="22"/>
      <c r="B40" s="22"/>
      <c r="C40" s="22" t="s">
        <v>63</v>
      </c>
      <c r="D40" s="31" t="s">
        <v>72</v>
      </c>
      <c r="E40" s="23">
        <v>0.22500000000000001</v>
      </c>
      <c r="F40" s="22" t="s">
        <v>76</v>
      </c>
      <c r="G40" s="23">
        <v>60</v>
      </c>
      <c r="H40" s="24">
        <v>13.5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3DED-91B9-4BA1-8367-6F449322C90C}">
  <sheetPr>
    <tabColor theme="5" tint="0.79998168889431442"/>
  </sheetPr>
  <dimension ref="A1:I135"/>
  <sheetViews>
    <sheetView workbookViewId="0">
      <selection activeCell="F92" sqref="F92"/>
    </sheetView>
  </sheetViews>
  <sheetFormatPr baseColWidth="10" defaultRowHeight="14.5" x14ac:dyDescent="0.35"/>
  <cols>
    <col min="1" max="1" width="6.81640625" bestFit="1" customWidth="1"/>
    <col min="2" max="2" width="19.7265625" bestFit="1" customWidth="1"/>
    <col min="3" max="3" width="23" customWidth="1"/>
    <col min="4" max="4" width="15.08984375" customWidth="1"/>
    <col min="5" max="5" width="10.90625" style="1"/>
    <col min="6" max="6" width="5.7265625" customWidth="1"/>
    <col min="7" max="7" width="6.7265625" style="1" customWidth="1"/>
    <col min="8" max="8" width="13" style="1" bestFit="1" customWidth="1"/>
    <col min="9" max="9" width="9.36328125" style="1" customWidth="1"/>
  </cols>
  <sheetData>
    <row r="1" spans="1:9" x14ac:dyDescent="0.35">
      <c r="C1" s="2" t="s">
        <v>132</v>
      </c>
      <c r="D1" s="29" t="s">
        <v>133</v>
      </c>
      <c r="E1" s="28" t="s">
        <v>64</v>
      </c>
      <c r="F1" s="2" t="s">
        <v>67</v>
      </c>
      <c r="G1" s="28" t="s">
        <v>65</v>
      </c>
      <c r="H1" s="28" t="s">
        <v>66</v>
      </c>
    </row>
    <row r="2" spans="1:9" s="2" customFormat="1" x14ac:dyDescent="0.35">
      <c r="A2" s="26">
        <v>101251</v>
      </c>
      <c r="B2" s="25" t="s">
        <v>12</v>
      </c>
      <c r="C2" s="25"/>
      <c r="D2" s="25"/>
      <c r="E2" s="26"/>
      <c r="F2" s="25"/>
      <c r="G2" s="26"/>
      <c r="H2" s="27">
        <v>148.63999999999999</v>
      </c>
      <c r="I2" s="32"/>
    </row>
    <row r="3" spans="1:9" x14ac:dyDescent="0.35">
      <c r="A3" s="22"/>
      <c r="B3" s="22"/>
      <c r="C3" s="22" t="s">
        <v>124</v>
      </c>
      <c r="D3" s="31">
        <f>VLOOKUP(C3,Materialstamm!B:H,7,0)</f>
        <v>101215</v>
      </c>
      <c r="E3" s="23">
        <v>3.2</v>
      </c>
      <c r="F3" s="22" t="str">
        <f>VLOOKUP(D3,Materialstamm!A:F,6,0)</f>
        <v>M</v>
      </c>
      <c r="G3" s="22">
        <v>12.7</v>
      </c>
      <c r="H3" s="24">
        <v>40.64</v>
      </c>
      <c r="I3" s="3"/>
    </row>
    <row r="4" spans="1:9" x14ac:dyDescent="0.35">
      <c r="A4" s="22"/>
      <c r="B4" s="22"/>
      <c r="C4" s="22" t="s">
        <v>13</v>
      </c>
      <c r="D4" s="31">
        <f>VLOOKUP(C4,Materialstamm!B:H,7,0)</f>
        <v>101231</v>
      </c>
      <c r="E4" s="23">
        <v>0.8</v>
      </c>
      <c r="F4" s="22" t="str">
        <f>VLOOKUP(D4,Materialstamm!A:F,6,0)</f>
        <v>L</v>
      </c>
      <c r="G4" s="22">
        <v>10</v>
      </c>
      <c r="H4" s="24">
        <v>8</v>
      </c>
      <c r="I4" s="3"/>
    </row>
    <row r="5" spans="1:9" x14ac:dyDescent="0.35">
      <c r="A5" s="22"/>
      <c r="B5" s="22"/>
      <c r="C5" s="22" t="s">
        <v>14</v>
      </c>
      <c r="D5" s="31">
        <f>VLOOKUP(C5,Materialstamm!B:H,7,0)</f>
        <v>101225</v>
      </c>
      <c r="E5" s="23">
        <v>1</v>
      </c>
      <c r="F5" s="22" t="str">
        <f>VLOOKUP(D5,Materialstamm!A:F,6,0)</f>
        <v>ST</v>
      </c>
      <c r="G5" s="22">
        <v>12</v>
      </c>
      <c r="H5" s="24">
        <v>12</v>
      </c>
      <c r="I5" s="3"/>
    </row>
    <row r="6" spans="1:9" x14ac:dyDescent="0.35">
      <c r="A6" s="22"/>
      <c r="B6" s="22"/>
      <c r="C6" s="22" t="s">
        <v>17</v>
      </c>
      <c r="D6" s="31">
        <f>VLOOKUP(C6,Materialstamm!B:H,7,0)</f>
        <v>101224</v>
      </c>
      <c r="E6" s="23">
        <v>1</v>
      </c>
      <c r="F6" s="22" t="str">
        <f>VLOOKUP(D6,Materialstamm!A:F,6,0)</f>
        <v>ST</v>
      </c>
      <c r="G6" s="22">
        <v>2</v>
      </c>
      <c r="H6" s="24">
        <v>2</v>
      </c>
      <c r="I6" s="3"/>
    </row>
    <row r="7" spans="1:9" x14ac:dyDescent="0.35">
      <c r="A7" s="22"/>
      <c r="B7" s="22"/>
      <c r="C7" s="22" t="s">
        <v>18</v>
      </c>
      <c r="D7" s="31">
        <f>VLOOKUP(C7,Materialstamm!B:H,7,0)</f>
        <v>101216</v>
      </c>
      <c r="E7" s="23">
        <v>1</v>
      </c>
      <c r="F7" s="22" t="str">
        <f>VLOOKUP(D7,Materialstamm!A:F,6,0)</f>
        <v>ST</v>
      </c>
      <c r="G7" s="22">
        <v>16</v>
      </c>
      <c r="H7" s="24">
        <v>16</v>
      </c>
      <c r="I7" s="3"/>
    </row>
    <row r="8" spans="1:9" x14ac:dyDescent="0.35">
      <c r="A8" s="22"/>
      <c r="B8" s="22"/>
      <c r="C8" s="22" t="s">
        <v>74</v>
      </c>
      <c r="D8" s="31" t="s">
        <v>70</v>
      </c>
      <c r="E8" s="23">
        <v>0.5</v>
      </c>
      <c r="F8" s="22" t="s">
        <v>76</v>
      </c>
      <c r="G8" s="22">
        <v>26</v>
      </c>
      <c r="H8" s="24">
        <v>13</v>
      </c>
      <c r="I8" s="3"/>
    </row>
    <row r="9" spans="1:9" x14ac:dyDescent="0.35">
      <c r="A9" s="22"/>
      <c r="B9" s="22"/>
      <c r="C9" s="22" t="s">
        <v>74</v>
      </c>
      <c r="D9" s="31" t="s">
        <v>71</v>
      </c>
      <c r="E9" s="23">
        <v>0.95</v>
      </c>
      <c r="F9" s="22" t="s">
        <v>76</v>
      </c>
      <c r="G9" s="22">
        <v>60</v>
      </c>
      <c r="H9" s="24">
        <v>57</v>
      </c>
      <c r="I9" s="3"/>
    </row>
    <row r="11" spans="1:9" x14ac:dyDescent="0.35">
      <c r="A11" s="26">
        <v>101252</v>
      </c>
      <c r="B11" s="25" t="s">
        <v>30</v>
      </c>
      <c r="C11" s="25"/>
      <c r="D11" s="25"/>
      <c r="E11" s="26"/>
      <c r="F11" s="25"/>
      <c r="G11" s="26"/>
      <c r="H11" s="27">
        <v>152.18</v>
      </c>
      <c r="I11" s="3"/>
    </row>
    <row r="12" spans="1:9" x14ac:dyDescent="0.35">
      <c r="A12" s="22"/>
      <c r="B12" s="22"/>
      <c r="C12" s="22" t="s">
        <v>124</v>
      </c>
      <c r="D12" s="31">
        <f>VLOOKUP(C12,Materialstamm!B:H,7,0)</f>
        <v>101215</v>
      </c>
      <c r="E12" s="23">
        <v>3.4</v>
      </c>
      <c r="F12" s="22" t="str">
        <f>VLOOKUP(D12,Materialstamm!A:F,6,0)</f>
        <v>M</v>
      </c>
      <c r="G12" s="22">
        <v>12.7</v>
      </c>
      <c r="H12" s="24">
        <v>43.18</v>
      </c>
      <c r="I12" s="3"/>
    </row>
    <row r="13" spans="1:9" x14ac:dyDescent="0.35">
      <c r="A13" s="22"/>
      <c r="B13" s="22"/>
      <c r="C13" s="22" t="s">
        <v>13</v>
      </c>
      <c r="D13" s="31">
        <f>VLOOKUP(C13,Materialstamm!B:H,7,0)</f>
        <v>101231</v>
      </c>
      <c r="E13" s="23">
        <v>0.9</v>
      </c>
      <c r="F13" s="22" t="str">
        <f>VLOOKUP(D13,Materialstamm!A:F,6,0)</f>
        <v>L</v>
      </c>
      <c r="G13" s="22">
        <v>10</v>
      </c>
      <c r="H13" s="24">
        <v>9</v>
      </c>
      <c r="I13" s="3"/>
    </row>
    <row r="14" spans="1:9" x14ac:dyDescent="0.35">
      <c r="A14" s="22"/>
      <c r="B14" s="22"/>
      <c r="C14" s="22" t="s">
        <v>14</v>
      </c>
      <c r="D14" s="31">
        <f>VLOOKUP(C14,Materialstamm!B:H,7,0)</f>
        <v>101225</v>
      </c>
      <c r="E14" s="23">
        <v>1</v>
      </c>
      <c r="F14" s="22" t="str">
        <f>VLOOKUP(D14,Materialstamm!A:F,6,0)</f>
        <v>ST</v>
      </c>
      <c r="G14" s="22">
        <v>12</v>
      </c>
      <c r="H14" s="24">
        <v>12</v>
      </c>
      <c r="I14" s="3"/>
    </row>
    <row r="15" spans="1:9" x14ac:dyDescent="0.35">
      <c r="A15" s="22"/>
      <c r="B15" s="22"/>
      <c r="C15" s="22" t="s">
        <v>17</v>
      </c>
      <c r="D15" s="31">
        <f>VLOOKUP(C15,Materialstamm!B:H,7,0)</f>
        <v>101224</v>
      </c>
      <c r="E15" s="23">
        <v>1</v>
      </c>
      <c r="F15" s="22" t="str">
        <f>VLOOKUP(D15,Materialstamm!A:F,6,0)</f>
        <v>ST</v>
      </c>
      <c r="G15" s="22">
        <v>2</v>
      </c>
      <c r="H15" s="24">
        <v>2</v>
      </c>
      <c r="I15" s="3"/>
    </row>
    <row r="16" spans="1:9" x14ac:dyDescent="0.35">
      <c r="A16" s="22"/>
      <c r="B16" s="22"/>
      <c r="C16" s="22" t="s">
        <v>18</v>
      </c>
      <c r="D16" s="31">
        <f>VLOOKUP(C16,Materialstamm!B:H,7,0)</f>
        <v>101216</v>
      </c>
      <c r="E16" s="23">
        <v>1</v>
      </c>
      <c r="F16" s="22" t="str">
        <f>VLOOKUP(D16,Materialstamm!A:F,6,0)</f>
        <v>ST</v>
      </c>
      <c r="G16" s="22">
        <v>16</v>
      </c>
      <c r="H16" s="24">
        <v>16</v>
      </c>
      <c r="I16" s="3"/>
    </row>
    <row r="17" spans="1:9" x14ac:dyDescent="0.35">
      <c r="A17" s="22"/>
      <c r="B17" s="22"/>
      <c r="C17" s="22" t="s">
        <v>74</v>
      </c>
      <c r="D17" s="31" t="s">
        <v>70</v>
      </c>
      <c r="E17" s="23">
        <v>0.5</v>
      </c>
      <c r="F17" s="22" t="s">
        <v>76</v>
      </c>
      <c r="G17" s="22">
        <v>26</v>
      </c>
      <c r="H17" s="24">
        <v>13</v>
      </c>
      <c r="I17" s="3"/>
    </row>
    <row r="18" spans="1:9" x14ac:dyDescent="0.35">
      <c r="A18" s="22"/>
      <c r="B18" s="22"/>
      <c r="C18" s="22" t="s">
        <v>74</v>
      </c>
      <c r="D18" s="31" t="s">
        <v>71</v>
      </c>
      <c r="E18" s="23">
        <v>0.95</v>
      </c>
      <c r="F18" s="22" t="s">
        <v>76</v>
      </c>
      <c r="G18" s="22">
        <v>60</v>
      </c>
      <c r="H18" s="24">
        <v>57</v>
      </c>
      <c r="I18" s="3"/>
    </row>
    <row r="19" spans="1:9" x14ac:dyDescent="0.35">
      <c r="H19" s="3"/>
      <c r="I19" s="3"/>
    </row>
    <row r="20" spans="1:9" x14ac:dyDescent="0.35">
      <c r="A20" s="26">
        <v>101254</v>
      </c>
      <c r="B20" s="25" t="s">
        <v>46</v>
      </c>
      <c r="C20" s="25"/>
      <c r="D20" s="25"/>
      <c r="E20" s="26"/>
      <c r="F20" s="25"/>
      <c r="G20" s="26"/>
      <c r="H20" s="27">
        <v>155.72</v>
      </c>
      <c r="I20" s="3"/>
    </row>
    <row r="21" spans="1:9" x14ac:dyDescent="0.35">
      <c r="A21" s="22"/>
      <c r="B21" s="22"/>
      <c r="C21" s="22" t="s">
        <v>124</v>
      </c>
      <c r="D21" s="31">
        <f>VLOOKUP(C21,Materialstamm!B:H,7,0)</f>
        <v>101215</v>
      </c>
      <c r="E21" s="23">
        <v>3.6</v>
      </c>
      <c r="F21" s="22" t="str">
        <f>VLOOKUP(D21,Materialstamm!A:F,6,0)</f>
        <v>M</v>
      </c>
      <c r="G21" s="22">
        <v>12.7</v>
      </c>
      <c r="H21" s="24">
        <v>45.72</v>
      </c>
      <c r="I21" s="3"/>
    </row>
    <row r="22" spans="1:9" x14ac:dyDescent="0.35">
      <c r="A22" s="22"/>
      <c r="B22" s="22"/>
      <c r="C22" s="22" t="s">
        <v>13</v>
      </c>
      <c r="D22" s="31">
        <f>VLOOKUP(C22,Materialstamm!B:H,7,0)</f>
        <v>101231</v>
      </c>
      <c r="E22" s="23">
        <v>1</v>
      </c>
      <c r="F22" s="22" t="str">
        <f>VLOOKUP(D22,Materialstamm!A:F,6,0)</f>
        <v>L</v>
      </c>
      <c r="G22" s="22">
        <v>10</v>
      </c>
      <c r="H22" s="24">
        <v>10</v>
      </c>
      <c r="I22" s="3"/>
    </row>
    <row r="23" spans="1:9" x14ac:dyDescent="0.35">
      <c r="A23" s="22"/>
      <c r="B23" s="22"/>
      <c r="C23" s="22" t="s">
        <v>14</v>
      </c>
      <c r="D23" s="31">
        <f>VLOOKUP(C23,Materialstamm!B:H,7,0)</f>
        <v>101225</v>
      </c>
      <c r="E23" s="23">
        <v>1</v>
      </c>
      <c r="F23" s="22" t="str">
        <f>VLOOKUP(D23,Materialstamm!A:F,6,0)</f>
        <v>ST</v>
      </c>
      <c r="G23" s="22">
        <v>12</v>
      </c>
      <c r="H23" s="24">
        <v>12</v>
      </c>
      <c r="I23" s="3"/>
    </row>
    <row r="24" spans="1:9" x14ac:dyDescent="0.35">
      <c r="A24" s="22"/>
      <c r="B24" s="22"/>
      <c r="C24" s="22" t="s">
        <v>17</v>
      </c>
      <c r="D24" s="31">
        <f>VLOOKUP(C24,Materialstamm!B:H,7,0)</f>
        <v>101224</v>
      </c>
      <c r="E24" s="23">
        <v>1</v>
      </c>
      <c r="F24" s="22" t="str">
        <f>VLOOKUP(D24,Materialstamm!A:F,6,0)</f>
        <v>ST</v>
      </c>
      <c r="G24" s="22">
        <v>2</v>
      </c>
      <c r="H24" s="24">
        <v>2</v>
      </c>
      <c r="I24" s="3"/>
    </row>
    <row r="25" spans="1:9" x14ac:dyDescent="0.35">
      <c r="A25" s="22"/>
      <c r="B25" s="22"/>
      <c r="C25" s="22" t="s">
        <v>18</v>
      </c>
      <c r="D25" s="31">
        <f>VLOOKUP(C25,Materialstamm!B:H,7,0)</f>
        <v>101216</v>
      </c>
      <c r="E25" s="23">
        <v>1</v>
      </c>
      <c r="F25" s="22" t="str">
        <f>VLOOKUP(D25,Materialstamm!A:F,6,0)</f>
        <v>ST</v>
      </c>
      <c r="G25" s="22">
        <v>16</v>
      </c>
      <c r="H25" s="24">
        <v>16</v>
      </c>
      <c r="I25" s="3"/>
    </row>
    <row r="26" spans="1:9" x14ac:dyDescent="0.35">
      <c r="A26" s="22"/>
      <c r="B26" s="22"/>
      <c r="C26" s="22" t="s">
        <v>74</v>
      </c>
      <c r="D26" s="31" t="s">
        <v>70</v>
      </c>
      <c r="E26" s="23">
        <v>0.5</v>
      </c>
      <c r="F26" s="22" t="s">
        <v>76</v>
      </c>
      <c r="G26" s="22">
        <v>26</v>
      </c>
      <c r="H26" s="24">
        <v>13</v>
      </c>
      <c r="I26" s="3"/>
    </row>
    <row r="27" spans="1:9" x14ac:dyDescent="0.35">
      <c r="A27" s="22"/>
      <c r="B27" s="22"/>
      <c r="C27" s="22" t="s">
        <v>74</v>
      </c>
      <c r="D27" s="31" t="s">
        <v>71</v>
      </c>
      <c r="E27" s="23">
        <v>0.95</v>
      </c>
      <c r="F27" s="22" t="s">
        <v>76</v>
      </c>
      <c r="G27" s="22">
        <v>60</v>
      </c>
      <c r="H27" s="24">
        <v>57</v>
      </c>
      <c r="I27" s="3"/>
    </row>
    <row r="28" spans="1:9" x14ac:dyDescent="0.35">
      <c r="G28"/>
      <c r="H28" s="3"/>
      <c r="I28" s="3"/>
    </row>
    <row r="29" spans="1:9" x14ac:dyDescent="0.35">
      <c r="A29" s="26">
        <v>101253</v>
      </c>
      <c r="B29" s="25" t="s">
        <v>47</v>
      </c>
      <c r="C29" s="25"/>
      <c r="D29" s="25"/>
      <c r="E29" s="26"/>
      <c r="F29" s="25"/>
      <c r="G29" s="26"/>
      <c r="H29" s="27">
        <v>154.58499999999998</v>
      </c>
      <c r="I29" s="3"/>
    </row>
    <row r="30" spans="1:9" x14ac:dyDescent="0.35">
      <c r="A30" s="22"/>
      <c r="B30" s="22"/>
      <c r="C30" s="22" t="s">
        <v>124</v>
      </c>
      <c r="D30" s="31">
        <f>VLOOKUP(C30,Materialstamm!B:H,7,0)</f>
        <v>101215</v>
      </c>
      <c r="E30" s="23">
        <v>3.55</v>
      </c>
      <c r="F30" s="22" t="str">
        <f>VLOOKUP(D30,Materialstamm!A:F,6,0)</f>
        <v>M</v>
      </c>
      <c r="G30" s="22">
        <v>12.7</v>
      </c>
      <c r="H30" s="24">
        <v>45.084999999999994</v>
      </c>
      <c r="I30" s="3"/>
    </row>
    <row r="31" spans="1:9" x14ac:dyDescent="0.35">
      <c r="A31" s="22"/>
      <c r="B31" s="22"/>
      <c r="C31" s="22" t="s">
        <v>13</v>
      </c>
      <c r="D31" s="31">
        <f>VLOOKUP(C31,Materialstamm!B:H,7,0)</f>
        <v>101231</v>
      </c>
      <c r="E31" s="23">
        <v>0.95</v>
      </c>
      <c r="F31" s="22" t="str">
        <f>VLOOKUP(D31,Materialstamm!A:F,6,0)</f>
        <v>L</v>
      </c>
      <c r="G31" s="22">
        <v>10</v>
      </c>
      <c r="H31" s="24">
        <v>9.5</v>
      </c>
      <c r="I31" s="3"/>
    </row>
    <row r="32" spans="1:9" x14ac:dyDescent="0.35">
      <c r="A32" s="22"/>
      <c r="B32" s="22"/>
      <c r="C32" s="22" t="s">
        <v>14</v>
      </c>
      <c r="D32" s="31">
        <f>VLOOKUP(C32,Materialstamm!B:H,7,0)</f>
        <v>101225</v>
      </c>
      <c r="E32" s="23">
        <v>1</v>
      </c>
      <c r="F32" s="22" t="str">
        <f>VLOOKUP(D32,Materialstamm!A:F,6,0)</f>
        <v>ST</v>
      </c>
      <c r="G32" s="22">
        <v>12</v>
      </c>
      <c r="H32" s="24">
        <v>12</v>
      </c>
      <c r="I32" s="3"/>
    </row>
    <row r="33" spans="1:9" x14ac:dyDescent="0.35">
      <c r="A33" s="22"/>
      <c r="B33" s="22"/>
      <c r="C33" s="22" t="s">
        <v>17</v>
      </c>
      <c r="D33" s="31">
        <f>VLOOKUP(C33,Materialstamm!B:H,7,0)</f>
        <v>101224</v>
      </c>
      <c r="E33" s="23">
        <v>1</v>
      </c>
      <c r="F33" s="22" t="str">
        <f>VLOOKUP(D33,Materialstamm!A:F,6,0)</f>
        <v>ST</v>
      </c>
      <c r="G33" s="22">
        <v>2</v>
      </c>
      <c r="H33" s="24">
        <v>2</v>
      </c>
      <c r="I33" s="3"/>
    </row>
    <row r="34" spans="1:9" x14ac:dyDescent="0.35">
      <c r="A34" s="22"/>
      <c r="B34" s="22"/>
      <c r="C34" s="22" t="s">
        <v>18</v>
      </c>
      <c r="D34" s="31">
        <f>VLOOKUP(C34,Materialstamm!B:H,7,0)</f>
        <v>101216</v>
      </c>
      <c r="E34" s="23">
        <v>1</v>
      </c>
      <c r="F34" s="22" t="str">
        <f>VLOOKUP(D34,Materialstamm!A:F,6,0)</f>
        <v>ST</v>
      </c>
      <c r="G34" s="22">
        <v>16</v>
      </c>
      <c r="H34" s="24">
        <v>16</v>
      </c>
      <c r="I34" s="3"/>
    </row>
    <row r="35" spans="1:9" x14ac:dyDescent="0.35">
      <c r="A35" s="22"/>
      <c r="B35" s="22"/>
      <c r="C35" s="22" t="s">
        <v>74</v>
      </c>
      <c r="D35" s="31" t="s">
        <v>70</v>
      </c>
      <c r="E35" s="23">
        <v>0.5</v>
      </c>
      <c r="F35" s="22" t="s">
        <v>76</v>
      </c>
      <c r="G35" s="22">
        <v>26</v>
      </c>
      <c r="H35" s="24">
        <v>13</v>
      </c>
      <c r="I35" s="3"/>
    </row>
    <row r="36" spans="1:9" x14ac:dyDescent="0.35">
      <c r="A36" s="22"/>
      <c r="B36" s="22"/>
      <c r="C36" s="22" t="s">
        <v>74</v>
      </c>
      <c r="D36" s="31" t="s">
        <v>71</v>
      </c>
      <c r="E36" s="23">
        <v>0.95</v>
      </c>
      <c r="F36" s="22" t="s">
        <v>76</v>
      </c>
      <c r="G36" s="22">
        <v>60</v>
      </c>
      <c r="H36" s="24">
        <v>57</v>
      </c>
      <c r="I36" s="3"/>
    </row>
    <row r="37" spans="1:9" x14ac:dyDescent="0.35">
      <c r="G37"/>
      <c r="H37" s="3"/>
      <c r="I37" s="3"/>
    </row>
    <row r="38" spans="1:9" x14ac:dyDescent="0.35">
      <c r="A38" s="26">
        <v>101255</v>
      </c>
      <c r="B38" s="25" t="s">
        <v>48</v>
      </c>
      <c r="C38" s="25"/>
      <c r="D38" s="25"/>
      <c r="E38" s="26"/>
      <c r="F38" s="25"/>
      <c r="G38" s="26"/>
      <c r="H38" s="27">
        <v>159.26</v>
      </c>
      <c r="I38" s="3"/>
    </row>
    <row r="39" spans="1:9" x14ac:dyDescent="0.35">
      <c r="A39" s="22"/>
      <c r="B39" s="22"/>
      <c r="C39" s="22" t="s">
        <v>124</v>
      </c>
      <c r="D39" s="31">
        <f>VLOOKUP(C39,Materialstamm!B:H,7,0)</f>
        <v>101215</v>
      </c>
      <c r="E39" s="23">
        <v>3.8</v>
      </c>
      <c r="F39" s="22" t="str">
        <f>VLOOKUP(D39,Materialstamm!A:F,6,0)</f>
        <v>M</v>
      </c>
      <c r="G39" s="22">
        <v>12.7</v>
      </c>
      <c r="H39" s="24">
        <v>48.26</v>
      </c>
      <c r="I39" s="3"/>
    </row>
    <row r="40" spans="1:9" x14ac:dyDescent="0.35">
      <c r="A40" s="22"/>
      <c r="B40" s="22"/>
      <c r="C40" s="22" t="s">
        <v>13</v>
      </c>
      <c r="D40" s="31">
        <f>VLOOKUP(C40,Materialstamm!B:H,7,0)</f>
        <v>101231</v>
      </c>
      <c r="E40" s="23">
        <v>1.1000000000000001</v>
      </c>
      <c r="F40" s="22" t="str">
        <f>VLOOKUP(D40,Materialstamm!A:F,6,0)</f>
        <v>L</v>
      </c>
      <c r="G40" s="22">
        <v>10</v>
      </c>
      <c r="H40" s="24">
        <v>11</v>
      </c>
      <c r="I40" s="3"/>
    </row>
    <row r="41" spans="1:9" x14ac:dyDescent="0.35">
      <c r="A41" s="22"/>
      <c r="B41" s="22"/>
      <c r="C41" s="22" t="s">
        <v>14</v>
      </c>
      <c r="D41" s="31">
        <f>VLOOKUP(C41,Materialstamm!B:H,7,0)</f>
        <v>101225</v>
      </c>
      <c r="E41" s="23">
        <v>1</v>
      </c>
      <c r="F41" s="22" t="str">
        <f>VLOOKUP(D41,Materialstamm!A:F,6,0)</f>
        <v>ST</v>
      </c>
      <c r="G41" s="22">
        <v>12</v>
      </c>
      <c r="H41" s="24">
        <v>12</v>
      </c>
      <c r="I41" s="3"/>
    </row>
    <row r="42" spans="1:9" x14ac:dyDescent="0.35">
      <c r="A42" s="22"/>
      <c r="B42" s="22"/>
      <c r="C42" s="22" t="s">
        <v>17</v>
      </c>
      <c r="D42" s="31">
        <f>VLOOKUP(C42,Materialstamm!B:H,7,0)</f>
        <v>101224</v>
      </c>
      <c r="E42" s="23">
        <v>1</v>
      </c>
      <c r="F42" s="22" t="str">
        <f>VLOOKUP(D42,Materialstamm!A:F,6,0)</f>
        <v>ST</v>
      </c>
      <c r="G42" s="22">
        <v>2</v>
      </c>
      <c r="H42" s="24">
        <v>2</v>
      </c>
      <c r="I42" s="3"/>
    </row>
    <row r="43" spans="1:9" x14ac:dyDescent="0.35">
      <c r="A43" s="22"/>
      <c r="B43" s="22"/>
      <c r="C43" s="22" t="s">
        <v>18</v>
      </c>
      <c r="D43" s="31">
        <f>VLOOKUP(C43,Materialstamm!B:H,7,0)</f>
        <v>101216</v>
      </c>
      <c r="E43" s="23">
        <v>1</v>
      </c>
      <c r="F43" s="22" t="str">
        <f>VLOOKUP(D43,Materialstamm!A:F,6,0)</f>
        <v>ST</v>
      </c>
      <c r="G43" s="22">
        <v>16</v>
      </c>
      <c r="H43" s="24">
        <v>16</v>
      </c>
      <c r="I43" s="3"/>
    </row>
    <row r="44" spans="1:9" x14ac:dyDescent="0.35">
      <c r="A44" s="22"/>
      <c r="B44" s="22"/>
      <c r="C44" s="22" t="s">
        <v>74</v>
      </c>
      <c r="D44" s="31" t="s">
        <v>70</v>
      </c>
      <c r="E44" s="23">
        <v>0.5</v>
      </c>
      <c r="F44" s="22" t="s">
        <v>76</v>
      </c>
      <c r="G44" s="22">
        <v>26</v>
      </c>
      <c r="H44" s="24">
        <v>13</v>
      </c>
      <c r="I44" s="3"/>
    </row>
    <row r="45" spans="1:9" x14ac:dyDescent="0.35">
      <c r="A45" s="22"/>
      <c r="B45" s="22"/>
      <c r="C45" s="22" t="s">
        <v>74</v>
      </c>
      <c r="D45" s="31" t="s">
        <v>71</v>
      </c>
      <c r="E45" s="23">
        <v>0.95</v>
      </c>
      <c r="F45" s="22" t="s">
        <v>76</v>
      </c>
      <c r="G45" s="22">
        <v>60</v>
      </c>
      <c r="H45" s="24">
        <v>57</v>
      </c>
      <c r="I45" s="3"/>
    </row>
    <row r="47" spans="1:9" x14ac:dyDescent="0.35">
      <c r="A47" s="26">
        <v>101256</v>
      </c>
      <c r="B47" s="25" t="s">
        <v>51</v>
      </c>
      <c r="C47" s="25"/>
      <c r="D47" s="25"/>
      <c r="E47" s="26"/>
      <c r="F47" s="25"/>
      <c r="G47" s="26"/>
      <c r="H47" s="27">
        <v>187.68</v>
      </c>
      <c r="I47" s="3"/>
    </row>
    <row r="48" spans="1:9" x14ac:dyDescent="0.35">
      <c r="A48" s="22"/>
      <c r="B48" s="22"/>
      <c r="C48" s="22" t="s">
        <v>61</v>
      </c>
      <c r="D48" s="31">
        <f>VLOOKUP(C48,Materialstamm!B:H,7,0)</f>
        <v>101214</v>
      </c>
      <c r="E48" s="23">
        <v>3.2</v>
      </c>
      <c r="F48" s="22" t="str">
        <f>VLOOKUP(D48,Materialstamm!A:F,6,0)</f>
        <v>M</v>
      </c>
      <c r="G48" s="22">
        <v>24.9</v>
      </c>
      <c r="H48" s="24">
        <v>79.680000000000007</v>
      </c>
      <c r="I48" s="3"/>
    </row>
    <row r="49" spans="1:9" x14ac:dyDescent="0.35">
      <c r="A49" s="22"/>
      <c r="B49" s="22"/>
      <c r="C49" s="22" t="s">
        <v>13</v>
      </c>
      <c r="D49" s="31">
        <f>VLOOKUP(C49,Materialstamm!B:H,7,0)</f>
        <v>101231</v>
      </c>
      <c r="E49" s="23">
        <v>0.8</v>
      </c>
      <c r="F49" s="22" t="str">
        <f>VLOOKUP(D49,Materialstamm!A:F,6,0)</f>
        <v>L</v>
      </c>
      <c r="G49" s="22">
        <v>10</v>
      </c>
      <c r="H49" s="24">
        <v>8</v>
      </c>
      <c r="I49" s="3"/>
    </row>
    <row r="50" spans="1:9" x14ac:dyDescent="0.35">
      <c r="A50" s="22"/>
      <c r="B50" s="22"/>
      <c r="C50" s="22" t="s">
        <v>14</v>
      </c>
      <c r="D50" s="31">
        <f>VLOOKUP(C50,Materialstamm!B:H,7,0)</f>
        <v>101225</v>
      </c>
      <c r="E50" s="23">
        <v>1</v>
      </c>
      <c r="F50" s="22" t="str">
        <f>VLOOKUP(D50,Materialstamm!A:F,6,0)</f>
        <v>ST</v>
      </c>
      <c r="G50" s="22">
        <v>12</v>
      </c>
      <c r="H50" s="24">
        <v>12</v>
      </c>
      <c r="I50" s="3"/>
    </row>
    <row r="51" spans="1:9" x14ac:dyDescent="0.35">
      <c r="A51" s="22"/>
      <c r="B51" s="22"/>
      <c r="C51" s="22" t="s">
        <v>17</v>
      </c>
      <c r="D51" s="31">
        <f>VLOOKUP(C51,Materialstamm!B:H,7,0)</f>
        <v>101224</v>
      </c>
      <c r="E51" s="23">
        <v>1</v>
      </c>
      <c r="F51" s="22" t="str">
        <f>VLOOKUP(D51,Materialstamm!A:F,6,0)</f>
        <v>ST</v>
      </c>
      <c r="G51" s="22">
        <v>2</v>
      </c>
      <c r="H51" s="24">
        <v>2</v>
      </c>
      <c r="I51" s="3"/>
    </row>
    <row r="52" spans="1:9" x14ac:dyDescent="0.35">
      <c r="A52" s="22"/>
      <c r="B52" s="22"/>
      <c r="C52" s="22" t="s">
        <v>18</v>
      </c>
      <c r="D52" s="31">
        <f>VLOOKUP(C52,Materialstamm!B:H,7,0)</f>
        <v>101216</v>
      </c>
      <c r="E52" s="23">
        <v>1</v>
      </c>
      <c r="F52" s="22" t="str">
        <f>VLOOKUP(D52,Materialstamm!A:F,6,0)</f>
        <v>ST</v>
      </c>
      <c r="G52" s="22">
        <v>16</v>
      </c>
      <c r="H52" s="24">
        <v>16</v>
      </c>
      <c r="I52" s="3"/>
    </row>
    <row r="53" spans="1:9" x14ac:dyDescent="0.35">
      <c r="A53" s="22"/>
      <c r="B53" s="22"/>
      <c r="C53" s="22" t="s">
        <v>74</v>
      </c>
      <c r="D53" s="31" t="s">
        <v>70</v>
      </c>
      <c r="E53" s="23">
        <v>0.5</v>
      </c>
      <c r="F53" s="22" t="s">
        <v>76</v>
      </c>
      <c r="G53" s="22">
        <v>26</v>
      </c>
      <c r="H53" s="24">
        <v>13</v>
      </c>
      <c r="I53" s="3"/>
    </row>
    <row r="54" spans="1:9" x14ac:dyDescent="0.35">
      <c r="A54" s="22"/>
      <c r="B54" s="22"/>
      <c r="C54" s="22" t="s">
        <v>74</v>
      </c>
      <c r="D54" s="31" t="s">
        <v>71</v>
      </c>
      <c r="E54" s="23">
        <v>0.95</v>
      </c>
      <c r="F54" s="22" t="s">
        <v>76</v>
      </c>
      <c r="G54" s="22">
        <v>60</v>
      </c>
      <c r="H54" s="24">
        <v>57</v>
      </c>
      <c r="I54" s="3"/>
    </row>
    <row r="56" spans="1:9" x14ac:dyDescent="0.35">
      <c r="A56" s="26">
        <v>101257</v>
      </c>
      <c r="B56" s="25" t="s">
        <v>52</v>
      </c>
      <c r="C56" s="25"/>
      <c r="D56" s="25"/>
      <c r="E56" s="26"/>
      <c r="F56" s="25"/>
      <c r="G56" s="26"/>
      <c r="H56" s="27">
        <v>193.66</v>
      </c>
      <c r="I56" s="3"/>
    </row>
    <row r="57" spans="1:9" x14ac:dyDescent="0.35">
      <c r="A57" s="22"/>
      <c r="B57" s="22"/>
      <c r="C57" s="22" t="s">
        <v>61</v>
      </c>
      <c r="D57" s="31">
        <f>VLOOKUP(C57,Materialstamm!B:H,7,0)</f>
        <v>101214</v>
      </c>
      <c r="E57" s="23">
        <v>3.4</v>
      </c>
      <c r="F57" s="22" t="str">
        <f>VLOOKUP(D57,Materialstamm!A:F,6,0)</f>
        <v>M</v>
      </c>
      <c r="G57" s="22">
        <v>24.9</v>
      </c>
      <c r="H57" s="24">
        <v>84.66</v>
      </c>
      <c r="I57" s="3"/>
    </row>
    <row r="58" spans="1:9" x14ac:dyDescent="0.35">
      <c r="A58" s="22"/>
      <c r="B58" s="22"/>
      <c r="C58" s="22" t="s">
        <v>13</v>
      </c>
      <c r="D58" s="31">
        <f>VLOOKUP(C58,Materialstamm!B:H,7,0)</f>
        <v>101231</v>
      </c>
      <c r="E58" s="23">
        <v>0.9</v>
      </c>
      <c r="F58" s="22" t="str">
        <f>VLOOKUP(D58,Materialstamm!A:F,6,0)</f>
        <v>L</v>
      </c>
      <c r="G58" s="22">
        <v>10</v>
      </c>
      <c r="H58" s="24">
        <v>9</v>
      </c>
      <c r="I58" s="3"/>
    </row>
    <row r="59" spans="1:9" x14ac:dyDescent="0.35">
      <c r="A59" s="22"/>
      <c r="B59" s="22"/>
      <c r="C59" s="22" t="s">
        <v>14</v>
      </c>
      <c r="D59" s="31">
        <f>VLOOKUP(C59,Materialstamm!B:H,7,0)</f>
        <v>101225</v>
      </c>
      <c r="E59" s="23">
        <v>1</v>
      </c>
      <c r="F59" s="22" t="str">
        <f>VLOOKUP(D59,Materialstamm!A:F,6,0)</f>
        <v>ST</v>
      </c>
      <c r="G59" s="22">
        <v>12</v>
      </c>
      <c r="H59" s="24">
        <v>12</v>
      </c>
      <c r="I59" s="3"/>
    </row>
    <row r="60" spans="1:9" x14ac:dyDescent="0.35">
      <c r="A60" s="22"/>
      <c r="B60" s="22"/>
      <c r="C60" s="22" t="s">
        <v>17</v>
      </c>
      <c r="D60" s="31">
        <f>VLOOKUP(C60,Materialstamm!B:H,7,0)</f>
        <v>101224</v>
      </c>
      <c r="E60" s="23">
        <v>1</v>
      </c>
      <c r="F60" s="22" t="str">
        <f>VLOOKUP(D60,Materialstamm!A:F,6,0)</f>
        <v>ST</v>
      </c>
      <c r="G60" s="22">
        <v>2</v>
      </c>
      <c r="H60" s="24">
        <v>2</v>
      </c>
      <c r="I60" s="3"/>
    </row>
    <row r="61" spans="1:9" x14ac:dyDescent="0.35">
      <c r="A61" s="22"/>
      <c r="B61" s="22"/>
      <c r="C61" s="22" t="s">
        <v>18</v>
      </c>
      <c r="D61" s="31">
        <f>VLOOKUP(C61,Materialstamm!B:H,7,0)</f>
        <v>101216</v>
      </c>
      <c r="E61" s="23">
        <v>1</v>
      </c>
      <c r="F61" s="22" t="str">
        <f>VLOOKUP(D61,Materialstamm!A:F,6,0)</f>
        <v>ST</v>
      </c>
      <c r="G61" s="22">
        <v>16</v>
      </c>
      <c r="H61" s="24">
        <v>16</v>
      </c>
      <c r="I61" s="3"/>
    </row>
    <row r="62" spans="1:9" x14ac:dyDescent="0.35">
      <c r="A62" s="22"/>
      <c r="B62" s="22"/>
      <c r="C62" s="22" t="s">
        <v>74</v>
      </c>
      <c r="D62" s="31" t="s">
        <v>70</v>
      </c>
      <c r="E62" s="23">
        <v>0.5</v>
      </c>
      <c r="F62" s="22" t="s">
        <v>76</v>
      </c>
      <c r="G62" s="22">
        <v>26</v>
      </c>
      <c r="H62" s="24">
        <v>13</v>
      </c>
      <c r="I62" s="3"/>
    </row>
    <row r="63" spans="1:9" x14ac:dyDescent="0.35">
      <c r="A63" s="22"/>
      <c r="B63" s="22"/>
      <c r="C63" s="22" t="s">
        <v>74</v>
      </c>
      <c r="D63" s="31" t="s">
        <v>71</v>
      </c>
      <c r="E63" s="23">
        <v>0.95</v>
      </c>
      <c r="F63" s="22" t="s">
        <v>76</v>
      </c>
      <c r="G63" s="22">
        <v>60</v>
      </c>
      <c r="H63" s="24">
        <v>57</v>
      </c>
      <c r="I63" s="3"/>
    </row>
    <row r="65" spans="1:9" x14ac:dyDescent="0.35">
      <c r="A65" s="26">
        <v>101259</v>
      </c>
      <c r="B65" s="25" t="s">
        <v>53</v>
      </c>
      <c r="C65" s="25"/>
      <c r="D65" s="25"/>
      <c r="E65" s="26"/>
      <c r="F65" s="25"/>
      <c r="G65" s="26"/>
      <c r="H65" s="27">
        <v>199.64</v>
      </c>
      <c r="I65" s="3"/>
    </row>
    <row r="66" spans="1:9" x14ac:dyDescent="0.35">
      <c r="A66" s="22"/>
      <c r="B66" s="22"/>
      <c r="C66" s="22" t="s">
        <v>61</v>
      </c>
      <c r="D66" s="31">
        <v>101214</v>
      </c>
      <c r="E66" s="23">
        <v>3.6</v>
      </c>
      <c r="F66" s="22" t="str">
        <f>VLOOKUP(D66,Materialstamm!A:F,6,0)</f>
        <v>M</v>
      </c>
      <c r="G66" s="22">
        <v>24.9</v>
      </c>
      <c r="H66" s="24">
        <v>89.64</v>
      </c>
      <c r="I66" s="3"/>
    </row>
    <row r="67" spans="1:9" x14ac:dyDescent="0.35">
      <c r="A67" s="22"/>
      <c r="B67" s="22"/>
      <c r="C67" s="22" t="s">
        <v>13</v>
      </c>
      <c r="D67" s="31">
        <v>101231</v>
      </c>
      <c r="E67" s="23">
        <v>1</v>
      </c>
      <c r="F67" s="22" t="str">
        <f>VLOOKUP(D67,Materialstamm!A:F,6,0)</f>
        <v>L</v>
      </c>
      <c r="G67" s="22">
        <v>10</v>
      </c>
      <c r="H67" s="24">
        <v>10</v>
      </c>
      <c r="I67" s="3"/>
    </row>
    <row r="68" spans="1:9" x14ac:dyDescent="0.35">
      <c r="A68" s="22"/>
      <c r="B68" s="22"/>
      <c r="C68" s="22" t="s">
        <v>14</v>
      </c>
      <c r="D68" s="31">
        <v>101225</v>
      </c>
      <c r="E68" s="23">
        <v>1</v>
      </c>
      <c r="F68" s="22" t="str">
        <f>VLOOKUP(D68,Materialstamm!A:F,6,0)</f>
        <v>ST</v>
      </c>
      <c r="G68" s="22">
        <v>12</v>
      </c>
      <c r="H68" s="24">
        <v>12</v>
      </c>
      <c r="I68" s="3"/>
    </row>
    <row r="69" spans="1:9" x14ac:dyDescent="0.35">
      <c r="A69" s="22"/>
      <c r="B69" s="22"/>
      <c r="C69" s="22" t="s">
        <v>17</v>
      </c>
      <c r="D69" s="31">
        <v>101224</v>
      </c>
      <c r="E69" s="23">
        <v>1</v>
      </c>
      <c r="F69" s="22" t="str">
        <f>VLOOKUP(D69,Materialstamm!A:F,6,0)</f>
        <v>ST</v>
      </c>
      <c r="G69" s="22">
        <v>2</v>
      </c>
      <c r="H69" s="24">
        <v>2</v>
      </c>
      <c r="I69" s="3"/>
    </row>
    <row r="70" spans="1:9" x14ac:dyDescent="0.35">
      <c r="A70" s="22"/>
      <c r="B70" s="22"/>
      <c r="C70" s="22" t="s">
        <v>18</v>
      </c>
      <c r="D70" s="31">
        <v>101216</v>
      </c>
      <c r="E70" s="23">
        <v>1</v>
      </c>
      <c r="F70" s="22" t="str">
        <f>VLOOKUP(D70,Materialstamm!A:F,6,0)</f>
        <v>ST</v>
      </c>
      <c r="G70" s="22">
        <v>16</v>
      </c>
      <c r="H70" s="24">
        <v>16</v>
      </c>
      <c r="I70" s="3"/>
    </row>
    <row r="71" spans="1:9" x14ac:dyDescent="0.35">
      <c r="A71" s="22"/>
      <c r="B71" s="22"/>
      <c r="C71" s="22" t="s">
        <v>74</v>
      </c>
      <c r="D71" s="31" t="s">
        <v>70</v>
      </c>
      <c r="E71" s="23">
        <v>0.5</v>
      </c>
      <c r="F71" s="22" t="s">
        <v>76</v>
      </c>
      <c r="G71" s="22">
        <v>26</v>
      </c>
      <c r="H71" s="24">
        <v>13</v>
      </c>
      <c r="I71" s="3"/>
    </row>
    <row r="72" spans="1:9" x14ac:dyDescent="0.35">
      <c r="A72" s="22"/>
      <c r="B72" s="22"/>
      <c r="C72" s="22" t="s">
        <v>74</v>
      </c>
      <c r="D72" s="31" t="s">
        <v>71</v>
      </c>
      <c r="E72" s="23">
        <v>0.95</v>
      </c>
      <c r="F72" s="22" t="s">
        <v>76</v>
      </c>
      <c r="G72" s="22">
        <v>60</v>
      </c>
      <c r="H72" s="24">
        <v>57</v>
      </c>
      <c r="I72" s="3"/>
    </row>
    <row r="74" spans="1:9" x14ac:dyDescent="0.35">
      <c r="A74" s="26">
        <v>101258</v>
      </c>
      <c r="B74" s="25" t="s">
        <v>54</v>
      </c>
      <c r="C74" s="25"/>
      <c r="D74" s="25"/>
      <c r="E74" s="26"/>
      <c r="F74" s="25"/>
      <c r="G74" s="26"/>
      <c r="H74" s="27">
        <v>197.89499999999998</v>
      </c>
      <c r="I74" s="3"/>
    </row>
    <row r="75" spans="1:9" x14ac:dyDescent="0.35">
      <c r="A75" s="22"/>
      <c r="B75" s="22"/>
      <c r="C75" s="22" t="s">
        <v>61</v>
      </c>
      <c r="D75" s="31">
        <v>101214</v>
      </c>
      <c r="E75" s="23">
        <v>3.55</v>
      </c>
      <c r="F75" s="22" t="str">
        <f>VLOOKUP(D75,Materialstamm!A:F,6,0)</f>
        <v>M</v>
      </c>
      <c r="G75" s="22">
        <v>24.9</v>
      </c>
      <c r="H75" s="24">
        <v>88.394999999999996</v>
      </c>
      <c r="I75" s="3"/>
    </row>
    <row r="76" spans="1:9" x14ac:dyDescent="0.35">
      <c r="A76" s="22"/>
      <c r="B76" s="22"/>
      <c r="C76" s="22" t="s">
        <v>13</v>
      </c>
      <c r="D76" s="31">
        <v>101231</v>
      </c>
      <c r="E76" s="23">
        <v>0.95</v>
      </c>
      <c r="F76" s="22" t="str">
        <f>VLOOKUP(D76,Materialstamm!A:F,6,0)</f>
        <v>L</v>
      </c>
      <c r="G76" s="22">
        <v>10</v>
      </c>
      <c r="H76" s="24">
        <v>9.5</v>
      </c>
      <c r="I76" s="3"/>
    </row>
    <row r="77" spans="1:9" x14ac:dyDescent="0.35">
      <c r="A77" s="22"/>
      <c r="B77" s="22"/>
      <c r="C77" s="22" t="s">
        <v>14</v>
      </c>
      <c r="D77" s="31">
        <v>101225</v>
      </c>
      <c r="E77" s="23">
        <v>1</v>
      </c>
      <c r="F77" s="22" t="str">
        <f>VLOOKUP(D77,Materialstamm!A:F,6,0)</f>
        <v>ST</v>
      </c>
      <c r="G77" s="22">
        <v>12</v>
      </c>
      <c r="H77" s="24">
        <v>12</v>
      </c>
      <c r="I77" s="3"/>
    </row>
    <row r="78" spans="1:9" x14ac:dyDescent="0.35">
      <c r="A78" s="22"/>
      <c r="B78" s="22"/>
      <c r="C78" s="22" t="s">
        <v>17</v>
      </c>
      <c r="D78" s="31">
        <v>101224</v>
      </c>
      <c r="E78" s="23">
        <v>1</v>
      </c>
      <c r="F78" s="22" t="str">
        <f>VLOOKUP(D78,Materialstamm!A:F,6,0)</f>
        <v>ST</v>
      </c>
      <c r="G78" s="22">
        <v>2</v>
      </c>
      <c r="H78" s="24">
        <v>2</v>
      </c>
      <c r="I78" s="3"/>
    </row>
    <row r="79" spans="1:9" x14ac:dyDescent="0.35">
      <c r="A79" s="22"/>
      <c r="B79" s="22"/>
      <c r="C79" s="22" t="s">
        <v>18</v>
      </c>
      <c r="D79" s="31">
        <v>101216</v>
      </c>
      <c r="E79" s="23">
        <v>1</v>
      </c>
      <c r="F79" s="22" t="str">
        <f>VLOOKUP(D79,Materialstamm!A:F,6,0)</f>
        <v>ST</v>
      </c>
      <c r="G79" s="22">
        <v>16</v>
      </c>
      <c r="H79" s="24">
        <v>16</v>
      </c>
      <c r="I79" s="3"/>
    </row>
    <row r="80" spans="1:9" x14ac:dyDescent="0.35">
      <c r="A80" s="22"/>
      <c r="B80" s="22"/>
      <c r="C80" s="22" t="s">
        <v>74</v>
      </c>
      <c r="D80" s="31" t="s">
        <v>70</v>
      </c>
      <c r="E80" s="23">
        <v>0.5</v>
      </c>
      <c r="F80" s="22" t="s">
        <v>76</v>
      </c>
      <c r="G80" s="22">
        <v>26</v>
      </c>
      <c r="H80" s="24">
        <v>13</v>
      </c>
      <c r="I80" s="3"/>
    </row>
    <row r="81" spans="1:9" x14ac:dyDescent="0.35">
      <c r="A81" s="22"/>
      <c r="B81" s="22"/>
      <c r="C81" s="22" t="s">
        <v>74</v>
      </c>
      <c r="D81" s="31" t="s">
        <v>71</v>
      </c>
      <c r="E81" s="23">
        <v>0.95</v>
      </c>
      <c r="F81" s="22" t="s">
        <v>76</v>
      </c>
      <c r="G81" s="22">
        <v>60</v>
      </c>
      <c r="H81" s="24">
        <v>57</v>
      </c>
      <c r="I81" s="3"/>
    </row>
    <row r="83" spans="1:9" x14ac:dyDescent="0.35">
      <c r="A83" s="26">
        <v>101260</v>
      </c>
      <c r="B83" s="25" t="s">
        <v>55</v>
      </c>
      <c r="C83" s="25"/>
      <c r="D83" s="25"/>
      <c r="E83" s="26"/>
      <c r="F83" s="25"/>
      <c r="G83" s="26"/>
      <c r="H83" s="27">
        <v>205.62</v>
      </c>
      <c r="I83" s="3"/>
    </row>
    <row r="84" spans="1:9" x14ac:dyDescent="0.35">
      <c r="A84" s="22"/>
      <c r="B84" s="22"/>
      <c r="C84" s="22" t="s">
        <v>61</v>
      </c>
      <c r="D84" s="31">
        <v>101214</v>
      </c>
      <c r="E84" s="23">
        <v>3.8</v>
      </c>
      <c r="F84" s="22" t="str">
        <f>VLOOKUP(D84,Materialstamm!A:F,6,0)</f>
        <v>M</v>
      </c>
      <c r="G84" s="22">
        <v>24.9</v>
      </c>
      <c r="H84" s="24">
        <v>94.61999999999999</v>
      </c>
      <c r="I84" s="3"/>
    </row>
    <row r="85" spans="1:9" x14ac:dyDescent="0.35">
      <c r="A85" s="22"/>
      <c r="B85" s="22"/>
      <c r="C85" s="22" t="s">
        <v>13</v>
      </c>
      <c r="D85" s="31">
        <v>101231</v>
      </c>
      <c r="E85" s="23">
        <v>1.1000000000000001</v>
      </c>
      <c r="F85" s="22" t="str">
        <f>VLOOKUP(D85,Materialstamm!A:F,6,0)</f>
        <v>L</v>
      </c>
      <c r="G85" s="22">
        <v>10</v>
      </c>
      <c r="H85" s="24">
        <v>11</v>
      </c>
      <c r="I85" s="3"/>
    </row>
    <row r="86" spans="1:9" x14ac:dyDescent="0.35">
      <c r="A86" s="22"/>
      <c r="B86" s="22"/>
      <c r="C86" s="22" t="s">
        <v>14</v>
      </c>
      <c r="D86" s="31">
        <v>101225</v>
      </c>
      <c r="E86" s="23">
        <v>1</v>
      </c>
      <c r="F86" s="22" t="str">
        <f>VLOOKUP(D86,Materialstamm!A:F,6,0)</f>
        <v>ST</v>
      </c>
      <c r="G86" s="22">
        <v>12</v>
      </c>
      <c r="H86" s="24">
        <v>12</v>
      </c>
      <c r="I86" s="3"/>
    </row>
    <row r="87" spans="1:9" x14ac:dyDescent="0.35">
      <c r="A87" s="22"/>
      <c r="B87" s="22"/>
      <c r="C87" s="22" t="s">
        <v>17</v>
      </c>
      <c r="D87" s="31">
        <v>101224</v>
      </c>
      <c r="E87" s="23">
        <v>1</v>
      </c>
      <c r="F87" s="22" t="str">
        <f>VLOOKUP(D87,Materialstamm!A:F,6,0)</f>
        <v>ST</v>
      </c>
      <c r="G87" s="22">
        <v>2</v>
      </c>
      <c r="H87" s="24">
        <v>2</v>
      </c>
      <c r="I87" s="3"/>
    </row>
    <row r="88" spans="1:9" x14ac:dyDescent="0.35">
      <c r="A88" s="22"/>
      <c r="B88" s="22"/>
      <c r="C88" s="22" t="s">
        <v>18</v>
      </c>
      <c r="D88" s="31">
        <v>101216</v>
      </c>
      <c r="E88" s="23">
        <v>1</v>
      </c>
      <c r="F88" s="22" t="str">
        <f>VLOOKUP(D88,Materialstamm!A:F,6,0)</f>
        <v>ST</v>
      </c>
      <c r="G88" s="22">
        <v>16</v>
      </c>
      <c r="H88" s="24">
        <v>16</v>
      </c>
      <c r="I88" s="3"/>
    </row>
    <row r="89" spans="1:9" x14ac:dyDescent="0.35">
      <c r="A89" s="22"/>
      <c r="B89" s="22"/>
      <c r="C89" s="22" t="s">
        <v>74</v>
      </c>
      <c r="D89" s="31" t="s">
        <v>70</v>
      </c>
      <c r="E89" s="23">
        <v>0.5</v>
      </c>
      <c r="F89" s="22" t="s">
        <v>76</v>
      </c>
      <c r="G89" s="22">
        <v>26</v>
      </c>
      <c r="H89" s="24">
        <v>13</v>
      </c>
      <c r="I89" s="3"/>
    </row>
    <row r="90" spans="1:9" x14ac:dyDescent="0.35">
      <c r="A90" s="22"/>
      <c r="B90" s="22"/>
      <c r="C90" s="22" t="s">
        <v>74</v>
      </c>
      <c r="D90" s="31" t="s">
        <v>71</v>
      </c>
      <c r="E90" s="23">
        <v>0.95</v>
      </c>
      <c r="F90" s="22" t="s">
        <v>76</v>
      </c>
      <c r="G90" s="22">
        <v>60</v>
      </c>
      <c r="H90" s="24">
        <v>57</v>
      </c>
      <c r="I90" s="3"/>
    </row>
    <row r="92" spans="1:9" x14ac:dyDescent="0.35">
      <c r="A92" s="26">
        <v>101261</v>
      </c>
      <c r="B92" s="25" t="s">
        <v>56</v>
      </c>
      <c r="C92" s="25"/>
      <c r="D92" s="25"/>
      <c r="E92" s="26"/>
      <c r="F92" s="25"/>
      <c r="G92" s="26"/>
      <c r="H92" s="27">
        <v>201.37</v>
      </c>
      <c r="I92" s="3"/>
    </row>
    <row r="93" spans="1:9" x14ac:dyDescent="0.35">
      <c r="A93" s="22"/>
      <c r="B93" s="22"/>
      <c r="C93" s="22" t="s">
        <v>61</v>
      </c>
      <c r="D93" s="31">
        <v>101214</v>
      </c>
      <c r="E93" s="23">
        <v>3.3</v>
      </c>
      <c r="F93" s="22" t="str">
        <f>VLOOKUP(D93,Materialstamm!A:F,6,0)</f>
        <v>M</v>
      </c>
      <c r="G93" s="22">
        <v>24.9</v>
      </c>
      <c r="H93" s="24">
        <v>82.169999999999987</v>
      </c>
      <c r="I93" s="3"/>
    </row>
    <row r="94" spans="1:9" x14ac:dyDescent="0.35">
      <c r="A94" s="22"/>
      <c r="B94" s="22"/>
      <c r="C94" s="22" t="s">
        <v>62</v>
      </c>
      <c r="D94" s="31">
        <v>101286</v>
      </c>
      <c r="E94" s="23">
        <v>0.8</v>
      </c>
      <c r="F94" s="22" t="str">
        <f>VLOOKUP(D94,Materialstamm!A:F,6,0)</f>
        <v>L</v>
      </c>
      <c r="G94" s="22">
        <v>24</v>
      </c>
      <c r="H94" s="24">
        <v>19.200000000000003</v>
      </c>
      <c r="I94" s="3"/>
    </row>
    <row r="95" spans="1:9" x14ac:dyDescent="0.35">
      <c r="A95" s="22"/>
      <c r="B95" s="22"/>
      <c r="C95" s="22" t="s">
        <v>14</v>
      </c>
      <c r="D95" s="31">
        <v>101225</v>
      </c>
      <c r="E95" s="23">
        <v>1</v>
      </c>
      <c r="F95" s="22" t="str">
        <f>VLOOKUP(D95,Materialstamm!A:F,6,0)</f>
        <v>ST</v>
      </c>
      <c r="G95" s="22">
        <v>12</v>
      </c>
      <c r="H95" s="24">
        <v>12</v>
      </c>
      <c r="I95" s="3"/>
    </row>
    <row r="96" spans="1:9" x14ac:dyDescent="0.35">
      <c r="A96" s="22"/>
      <c r="B96" s="22"/>
      <c r="C96" s="22" t="s">
        <v>17</v>
      </c>
      <c r="D96" s="31">
        <v>101224</v>
      </c>
      <c r="E96" s="23">
        <v>1</v>
      </c>
      <c r="F96" s="22" t="str">
        <f>VLOOKUP(D96,Materialstamm!A:F,6,0)</f>
        <v>ST</v>
      </c>
      <c r="G96" s="22">
        <v>2</v>
      </c>
      <c r="H96" s="24">
        <v>2</v>
      </c>
      <c r="I96" s="3"/>
    </row>
    <row r="97" spans="1:9" x14ac:dyDescent="0.35">
      <c r="A97" s="22"/>
      <c r="B97" s="22"/>
      <c r="C97" s="22" t="s">
        <v>18</v>
      </c>
      <c r="D97" s="31">
        <v>101216</v>
      </c>
      <c r="E97" s="23">
        <v>1</v>
      </c>
      <c r="F97" s="22" t="str">
        <f>VLOOKUP(D97,Materialstamm!A:F,6,0)</f>
        <v>ST</v>
      </c>
      <c r="G97" s="22">
        <v>16</v>
      </c>
      <c r="H97" s="24">
        <v>16</v>
      </c>
      <c r="I97" s="3"/>
    </row>
    <row r="98" spans="1:9" x14ac:dyDescent="0.35">
      <c r="A98" s="22"/>
      <c r="B98" s="22"/>
      <c r="C98" s="22" t="s">
        <v>74</v>
      </c>
      <c r="D98" s="31" t="s">
        <v>70</v>
      </c>
      <c r="E98" s="23">
        <v>0.5</v>
      </c>
      <c r="F98" s="22" t="s">
        <v>76</v>
      </c>
      <c r="G98" s="22">
        <v>26</v>
      </c>
      <c r="H98" s="24">
        <v>13</v>
      </c>
      <c r="I98" s="3"/>
    </row>
    <row r="99" spans="1:9" x14ac:dyDescent="0.35">
      <c r="A99" s="22"/>
      <c r="B99" s="22"/>
      <c r="C99" s="22" t="s">
        <v>74</v>
      </c>
      <c r="D99" s="31" t="s">
        <v>71</v>
      </c>
      <c r="E99" s="23">
        <v>0.95</v>
      </c>
      <c r="F99" s="22" t="s">
        <v>76</v>
      </c>
      <c r="G99" s="22">
        <v>60</v>
      </c>
      <c r="H99" s="24">
        <v>57</v>
      </c>
      <c r="I99" s="3"/>
    </row>
    <row r="101" spans="1:9" x14ac:dyDescent="0.35">
      <c r="A101" s="26">
        <v>101262</v>
      </c>
      <c r="B101" s="25" t="s">
        <v>57</v>
      </c>
      <c r="C101" s="25"/>
      <c r="D101" s="25"/>
      <c r="E101" s="26"/>
      <c r="F101" s="25"/>
      <c r="G101" s="26"/>
      <c r="H101" s="27">
        <v>208.75</v>
      </c>
      <c r="I101" s="3"/>
    </row>
    <row r="102" spans="1:9" x14ac:dyDescent="0.35">
      <c r="A102" s="22"/>
      <c r="B102" s="22"/>
      <c r="C102" s="22" t="s">
        <v>61</v>
      </c>
      <c r="D102" s="31">
        <v>101214</v>
      </c>
      <c r="E102" s="23">
        <v>3.5</v>
      </c>
      <c r="F102" s="22" t="str">
        <f>VLOOKUP(D102,Materialstamm!A:F,6,0)</f>
        <v>M</v>
      </c>
      <c r="G102" s="22">
        <v>24.9</v>
      </c>
      <c r="H102" s="24">
        <v>87.149999999999991</v>
      </c>
      <c r="I102" s="3"/>
    </row>
    <row r="103" spans="1:9" x14ac:dyDescent="0.35">
      <c r="A103" s="22"/>
      <c r="B103" s="22"/>
      <c r="C103" s="22" t="s">
        <v>62</v>
      </c>
      <c r="D103" s="31">
        <v>101286</v>
      </c>
      <c r="E103" s="23">
        <v>0.9</v>
      </c>
      <c r="F103" s="22" t="str">
        <f>VLOOKUP(D103,Materialstamm!A:F,6,0)</f>
        <v>L</v>
      </c>
      <c r="G103" s="22">
        <v>24</v>
      </c>
      <c r="H103" s="24">
        <v>21.6</v>
      </c>
      <c r="I103" s="3"/>
    </row>
    <row r="104" spans="1:9" x14ac:dyDescent="0.35">
      <c r="A104" s="22"/>
      <c r="B104" s="22"/>
      <c r="C104" s="22" t="s">
        <v>14</v>
      </c>
      <c r="D104" s="31">
        <v>101225</v>
      </c>
      <c r="E104" s="23">
        <v>1</v>
      </c>
      <c r="F104" s="22" t="str">
        <f>VLOOKUP(D104,Materialstamm!A:F,6,0)</f>
        <v>ST</v>
      </c>
      <c r="G104" s="22">
        <v>12</v>
      </c>
      <c r="H104" s="24">
        <v>12</v>
      </c>
      <c r="I104" s="3"/>
    </row>
    <row r="105" spans="1:9" x14ac:dyDescent="0.35">
      <c r="A105" s="22"/>
      <c r="B105" s="22"/>
      <c r="C105" s="22" t="s">
        <v>17</v>
      </c>
      <c r="D105" s="31">
        <v>101224</v>
      </c>
      <c r="E105" s="23">
        <v>1</v>
      </c>
      <c r="F105" s="22" t="str">
        <f>VLOOKUP(D105,Materialstamm!A:F,6,0)</f>
        <v>ST</v>
      </c>
      <c r="G105" s="22">
        <v>2</v>
      </c>
      <c r="H105" s="24">
        <v>2</v>
      </c>
      <c r="I105" s="3"/>
    </row>
    <row r="106" spans="1:9" x14ac:dyDescent="0.35">
      <c r="A106" s="22"/>
      <c r="B106" s="22"/>
      <c r="C106" s="22" t="s">
        <v>18</v>
      </c>
      <c r="D106" s="31">
        <v>101216</v>
      </c>
      <c r="E106" s="23">
        <v>1</v>
      </c>
      <c r="F106" s="22" t="str">
        <f>VLOOKUP(D106,Materialstamm!A:F,6,0)</f>
        <v>ST</v>
      </c>
      <c r="G106" s="22">
        <v>16</v>
      </c>
      <c r="H106" s="24">
        <v>16</v>
      </c>
      <c r="I106" s="3"/>
    </row>
    <row r="107" spans="1:9" x14ac:dyDescent="0.35">
      <c r="A107" s="22"/>
      <c r="B107" s="22"/>
      <c r="C107" s="22" t="s">
        <v>74</v>
      </c>
      <c r="D107" s="31" t="s">
        <v>70</v>
      </c>
      <c r="E107" s="23">
        <v>0.5</v>
      </c>
      <c r="F107" s="22" t="s">
        <v>76</v>
      </c>
      <c r="G107" s="22">
        <v>26</v>
      </c>
      <c r="H107" s="24">
        <v>13</v>
      </c>
      <c r="I107" s="3"/>
    </row>
    <row r="108" spans="1:9" x14ac:dyDescent="0.35">
      <c r="A108" s="22"/>
      <c r="B108" s="22"/>
      <c r="C108" s="22" t="s">
        <v>74</v>
      </c>
      <c r="D108" s="31" t="s">
        <v>71</v>
      </c>
      <c r="E108" s="23">
        <v>0.95</v>
      </c>
      <c r="F108" s="22" t="s">
        <v>76</v>
      </c>
      <c r="G108" s="22">
        <v>60</v>
      </c>
      <c r="H108" s="24">
        <v>57</v>
      </c>
      <c r="I108" s="3"/>
    </row>
    <row r="110" spans="1:9" x14ac:dyDescent="0.35">
      <c r="A110" s="26">
        <v>101263</v>
      </c>
      <c r="B110" s="25" t="s">
        <v>58</v>
      </c>
      <c r="C110" s="25"/>
      <c r="D110" s="25"/>
      <c r="E110" s="26"/>
      <c r="F110" s="25"/>
      <c r="G110" s="26"/>
      <c r="H110" s="27">
        <v>216.13</v>
      </c>
      <c r="I110" s="3"/>
    </row>
    <row r="111" spans="1:9" x14ac:dyDescent="0.35">
      <c r="A111" s="22"/>
      <c r="B111" s="22"/>
      <c r="C111" s="22" t="s">
        <v>61</v>
      </c>
      <c r="D111" s="31">
        <v>101214</v>
      </c>
      <c r="E111" s="23">
        <v>3.7</v>
      </c>
      <c r="F111" s="22" t="str">
        <f>VLOOKUP(D111,Materialstamm!A:F,6,0)</f>
        <v>M</v>
      </c>
      <c r="G111" s="22">
        <v>24.9</v>
      </c>
      <c r="H111" s="24">
        <v>92.13</v>
      </c>
      <c r="I111" s="3"/>
    </row>
    <row r="112" spans="1:9" x14ac:dyDescent="0.35">
      <c r="A112" s="22"/>
      <c r="B112" s="22"/>
      <c r="C112" s="22" t="s">
        <v>62</v>
      </c>
      <c r="D112" s="31">
        <v>101286</v>
      </c>
      <c r="E112" s="23">
        <v>1</v>
      </c>
      <c r="F112" s="22" t="str">
        <f>VLOOKUP(D112,Materialstamm!A:F,6,0)</f>
        <v>L</v>
      </c>
      <c r="G112" s="22">
        <v>24</v>
      </c>
      <c r="H112" s="24">
        <v>24</v>
      </c>
      <c r="I112" s="3"/>
    </row>
    <row r="113" spans="1:9" x14ac:dyDescent="0.35">
      <c r="A113" s="22"/>
      <c r="B113" s="22"/>
      <c r="C113" s="22" t="s">
        <v>14</v>
      </c>
      <c r="D113" s="31">
        <v>101225</v>
      </c>
      <c r="E113" s="23">
        <v>1</v>
      </c>
      <c r="F113" s="22" t="str">
        <f>VLOOKUP(D113,Materialstamm!A:F,6,0)</f>
        <v>ST</v>
      </c>
      <c r="G113" s="22">
        <v>12</v>
      </c>
      <c r="H113" s="24">
        <v>12</v>
      </c>
      <c r="I113" s="3"/>
    </row>
    <row r="114" spans="1:9" x14ac:dyDescent="0.35">
      <c r="A114" s="22"/>
      <c r="B114" s="22"/>
      <c r="C114" s="22" t="s">
        <v>17</v>
      </c>
      <c r="D114" s="31">
        <v>101224</v>
      </c>
      <c r="E114" s="23">
        <v>1</v>
      </c>
      <c r="F114" s="22" t="str">
        <f>VLOOKUP(D114,Materialstamm!A:F,6,0)</f>
        <v>ST</v>
      </c>
      <c r="G114" s="22">
        <v>2</v>
      </c>
      <c r="H114" s="24">
        <v>2</v>
      </c>
      <c r="I114" s="3"/>
    </row>
    <row r="115" spans="1:9" x14ac:dyDescent="0.35">
      <c r="A115" s="22"/>
      <c r="B115" s="22"/>
      <c r="C115" s="22" t="s">
        <v>18</v>
      </c>
      <c r="D115" s="31">
        <v>101216</v>
      </c>
      <c r="E115" s="23">
        <v>1</v>
      </c>
      <c r="F115" s="22" t="str">
        <f>VLOOKUP(D115,Materialstamm!A:F,6,0)</f>
        <v>ST</v>
      </c>
      <c r="G115" s="22">
        <v>16</v>
      </c>
      <c r="H115" s="24">
        <v>16</v>
      </c>
      <c r="I115" s="3"/>
    </row>
    <row r="116" spans="1:9" x14ac:dyDescent="0.35">
      <c r="A116" s="22"/>
      <c r="B116" s="22"/>
      <c r="C116" s="22" t="s">
        <v>74</v>
      </c>
      <c r="D116" s="31" t="s">
        <v>70</v>
      </c>
      <c r="E116" s="23">
        <v>0.5</v>
      </c>
      <c r="F116" s="22" t="s">
        <v>76</v>
      </c>
      <c r="G116" s="22">
        <v>26</v>
      </c>
      <c r="H116" s="24">
        <v>13</v>
      </c>
      <c r="I116" s="3"/>
    </row>
    <row r="117" spans="1:9" x14ac:dyDescent="0.35">
      <c r="A117" s="22"/>
      <c r="B117" s="22"/>
      <c r="C117" s="22" t="s">
        <v>74</v>
      </c>
      <c r="D117" s="31" t="s">
        <v>71</v>
      </c>
      <c r="E117" s="23">
        <v>0.95</v>
      </c>
      <c r="F117" s="22" t="s">
        <v>76</v>
      </c>
      <c r="G117" s="22">
        <v>60</v>
      </c>
      <c r="H117" s="24">
        <v>57</v>
      </c>
      <c r="I117" s="3"/>
    </row>
    <row r="119" spans="1:9" x14ac:dyDescent="0.35">
      <c r="A119" s="26">
        <v>101264</v>
      </c>
      <c r="B119" s="25" t="s">
        <v>59</v>
      </c>
      <c r="C119" s="25"/>
      <c r="D119" s="25"/>
      <c r="E119" s="26"/>
      <c r="F119" s="25"/>
      <c r="G119" s="26"/>
      <c r="H119" s="27">
        <v>213.685</v>
      </c>
      <c r="I119" s="3"/>
    </row>
    <row r="120" spans="1:9" x14ac:dyDescent="0.35">
      <c r="A120" s="22"/>
      <c r="B120" s="22"/>
      <c r="C120" s="22" t="s">
        <v>61</v>
      </c>
      <c r="D120" s="31">
        <v>101214</v>
      </c>
      <c r="E120" s="23">
        <v>3.65</v>
      </c>
      <c r="F120" s="22" t="str">
        <f>VLOOKUP(D120,Materialstamm!A:F,6,0)</f>
        <v>M</v>
      </c>
      <c r="G120" s="22">
        <v>24.9</v>
      </c>
      <c r="H120" s="24">
        <v>90.884999999999991</v>
      </c>
      <c r="I120" s="3"/>
    </row>
    <row r="121" spans="1:9" x14ac:dyDescent="0.35">
      <c r="A121" s="22"/>
      <c r="B121" s="22"/>
      <c r="C121" s="22" t="s">
        <v>62</v>
      </c>
      <c r="D121" s="31">
        <v>101286</v>
      </c>
      <c r="E121" s="23">
        <v>0.95</v>
      </c>
      <c r="F121" s="22" t="str">
        <f>VLOOKUP(D121,Materialstamm!A:F,6,0)</f>
        <v>L</v>
      </c>
      <c r="G121" s="22">
        <v>24</v>
      </c>
      <c r="H121" s="24">
        <v>22.799999999999997</v>
      </c>
      <c r="I121" s="3"/>
    </row>
    <row r="122" spans="1:9" x14ac:dyDescent="0.35">
      <c r="A122" s="22"/>
      <c r="B122" s="22"/>
      <c r="C122" s="22" t="s">
        <v>14</v>
      </c>
      <c r="D122" s="31">
        <v>101225</v>
      </c>
      <c r="E122" s="23">
        <v>1</v>
      </c>
      <c r="F122" s="22" t="str">
        <f>VLOOKUP(D122,Materialstamm!A:F,6,0)</f>
        <v>ST</v>
      </c>
      <c r="G122" s="22">
        <v>12</v>
      </c>
      <c r="H122" s="24">
        <v>12</v>
      </c>
      <c r="I122" s="3"/>
    </row>
    <row r="123" spans="1:9" x14ac:dyDescent="0.35">
      <c r="A123" s="22"/>
      <c r="B123" s="22"/>
      <c r="C123" s="22" t="s">
        <v>17</v>
      </c>
      <c r="D123" s="31">
        <v>101224</v>
      </c>
      <c r="E123" s="23">
        <v>1</v>
      </c>
      <c r="F123" s="22" t="str">
        <f>VLOOKUP(D123,Materialstamm!A:F,6,0)</f>
        <v>ST</v>
      </c>
      <c r="G123" s="22">
        <v>2</v>
      </c>
      <c r="H123" s="24">
        <v>2</v>
      </c>
      <c r="I123" s="3"/>
    </row>
    <row r="124" spans="1:9" x14ac:dyDescent="0.35">
      <c r="A124" s="22"/>
      <c r="B124" s="22"/>
      <c r="C124" s="22" t="s">
        <v>18</v>
      </c>
      <c r="D124" s="31">
        <v>101216</v>
      </c>
      <c r="E124" s="23">
        <v>1</v>
      </c>
      <c r="F124" s="22" t="str">
        <f>VLOOKUP(D124,Materialstamm!A:F,6,0)</f>
        <v>ST</v>
      </c>
      <c r="G124" s="22">
        <v>16</v>
      </c>
      <c r="H124" s="24">
        <v>16</v>
      </c>
      <c r="I124" s="3"/>
    </row>
    <row r="125" spans="1:9" x14ac:dyDescent="0.35">
      <c r="A125" s="22"/>
      <c r="B125" s="22"/>
      <c r="C125" s="22" t="s">
        <v>74</v>
      </c>
      <c r="D125" s="31" t="s">
        <v>70</v>
      </c>
      <c r="E125" s="23">
        <v>0.5</v>
      </c>
      <c r="F125" s="22" t="s">
        <v>76</v>
      </c>
      <c r="G125" s="22">
        <v>26</v>
      </c>
      <c r="H125" s="24">
        <v>13</v>
      </c>
      <c r="I125" s="3"/>
    </row>
    <row r="126" spans="1:9" x14ac:dyDescent="0.35">
      <c r="A126" s="22"/>
      <c r="B126" s="22"/>
      <c r="C126" s="22" t="s">
        <v>74</v>
      </c>
      <c r="D126" s="31" t="s">
        <v>71</v>
      </c>
      <c r="E126" s="23">
        <v>0.95</v>
      </c>
      <c r="F126" s="22" t="s">
        <v>76</v>
      </c>
      <c r="G126" s="22">
        <v>60</v>
      </c>
      <c r="H126" s="24">
        <v>57</v>
      </c>
      <c r="I126" s="3"/>
    </row>
    <row r="128" spans="1:9" x14ac:dyDescent="0.35">
      <c r="A128" s="1">
        <v>101265</v>
      </c>
      <c r="B128" t="s">
        <v>60</v>
      </c>
      <c r="H128" s="3">
        <v>221.01999999999998</v>
      </c>
      <c r="I128" s="3"/>
    </row>
    <row r="129" spans="3:9" x14ac:dyDescent="0.35">
      <c r="C129" t="s">
        <v>61</v>
      </c>
      <c r="D129" s="31">
        <v>101214</v>
      </c>
      <c r="E129" s="1">
        <v>3.8</v>
      </c>
      <c r="F129" t="str">
        <f>VLOOKUP(D129,Materialstamm!A:F,6,0)</f>
        <v>M</v>
      </c>
      <c r="G129">
        <v>24.9</v>
      </c>
      <c r="H129" s="3">
        <v>94.61999999999999</v>
      </c>
      <c r="I129" s="3"/>
    </row>
    <row r="130" spans="3:9" x14ac:dyDescent="0.35">
      <c r="C130" t="s">
        <v>62</v>
      </c>
      <c r="D130" s="31">
        <v>101286</v>
      </c>
      <c r="E130" s="1">
        <v>1.1000000000000001</v>
      </c>
      <c r="F130" t="str">
        <f>VLOOKUP(D130,Materialstamm!A:F,6,0)</f>
        <v>L</v>
      </c>
      <c r="G130">
        <v>24</v>
      </c>
      <c r="H130" s="3">
        <v>26.400000000000002</v>
      </c>
      <c r="I130" s="3"/>
    </row>
    <row r="131" spans="3:9" x14ac:dyDescent="0.35">
      <c r="C131" t="s">
        <v>14</v>
      </c>
      <c r="D131" s="31">
        <v>101225</v>
      </c>
      <c r="E131" s="1">
        <v>1</v>
      </c>
      <c r="F131" t="str">
        <f>VLOOKUP(D131,Materialstamm!A:F,6,0)</f>
        <v>ST</v>
      </c>
      <c r="G131">
        <v>12</v>
      </c>
      <c r="H131" s="3">
        <v>12</v>
      </c>
      <c r="I131" s="3"/>
    </row>
    <row r="132" spans="3:9" x14ac:dyDescent="0.35">
      <c r="C132" t="s">
        <v>17</v>
      </c>
      <c r="D132" s="31">
        <v>101224</v>
      </c>
      <c r="E132" s="1">
        <v>1</v>
      </c>
      <c r="F132" t="str">
        <f>VLOOKUP(D132,Materialstamm!A:F,6,0)</f>
        <v>ST</v>
      </c>
      <c r="G132">
        <v>2</v>
      </c>
      <c r="H132" s="3">
        <v>2</v>
      </c>
      <c r="I132" s="3"/>
    </row>
    <row r="133" spans="3:9" x14ac:dyDescent="0.35">
      <c r="C133" t="s">
        <v>18</v>
      </c>
      <c r="D133" s="31">
        <v>101216</v>
      </c>
      <c r="E133" s="1">
        <v>1</v>
      </c>
      <c r="F133" t="str">
        <f>VLOOKUP(D133,Materialstamm!A:F,6,0)</f>
        <v>ST</v>
      </c>
      <c r="G133">
        <v>16</v>
      </c>
      <c r="H133" s="3">
        <v>16</v>
      </c>
      <c r="I133" s="3"/>
    </row>
    <row r="134" spans="3:9" x14ac:dyDescent="0.35">
      <c r="C134" t="s">
        <v>74</v>
      </c>
      <c r="D134" t="s">
        <v>70</v>
      </c>
      <c r="E134" s="1">
        <v>0.5</v>
      </c>
      <c r="F134" t="s">
        <v>76</v>
      </c>
      <c r="G134">
        <v>26</v>
      </c>
      <c r="H134" s="3">
        <v>13</v>
      </c>
      <c r="I134" s="3"/>
    </row>
    <row r="135" spans="3:9" x14ac:dyDescent="0.35">
      <c r="C135" t="s">
        <v>74</v>
      </c>
      <c r="D135" t="s">
        <v>71</v>
      </c>
      <c r="E135" s="1">
        <v>0.95</v>
      </c>
      <c r="F135" t="s">
        <v>76</v>
      </c>
      <c r="G135">
        <v>60</v>
      </c>
      <c r="H135" s="3">
        <v>57</v>
      </c>
      <c r="I135" s="3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FD91-A983-4AC7-B8D6-70C69EC55EAF}">
  <sheetPr>
    <tabColor theme="5" tint="0.79998168889431442"/>
  </sheetPr>
  <dimension ref="A1:I195"/>
  <sheetViews>
    <sheetView workbookViewId="0">
      <selection activeCell="D185" sqref="D185:D193"/>
    </sheetView>
  </sheetViews>
  <sheetFormatPr baseColWidth="10" defaultRowHeight="14.5" x14ac:dyDescent="0.35"/>
  <cols>
    <col min="1" max="1" width="6.81640625" bestFit="1" customWidth="1"/>
    <col min="2" max="2" width="19.7265625" bestFit="1" customWidth="1"/>
    <col min="3" max="3" width="23" customWidth="1"/>
    <col min="4" max="4" width="15.08984375" style="6" customWidth="1"/>
    <col min="5" max="5" width="10.90625" style="1"/>
    <col min="6" max="6" width="8.54296875" customWidth="1"/>
    <col min="7" max="7" width="7.81640625" style="1" bestFit="1" customWidth="1"/>
    <col min="8" max="8" width="14.36328125" style="1" customWidth="1"/>
    <col min="9" max="9" width="6.26953125" style="1" customWidth="1"/>
    <col min="11" max="11" width="18.26953125" bestFit="1" customWidth="1"/>
  </cols>
  <sheetData>
    <row r="1" spans="1:9" x14ac:dyDescent="0.35">
      <c r="C1" s="2" t="s">
        <v>132</v>
      </c>
      <c r="D1" s="29" t="s">
        <v>133</v>
      </c>
      <c r="E1" s="28" t="s">
        <v>64</v>
      </c>
      <c r="F1" s="2" t="s">
        <v>67</v>
      </c>
      <c r="G1" s="28" t="s">
        <v>65</v>
      </c>
      <c r="H1" s="28" t="s">
        <v>66</v>
      </c>
    </row>
    <row r="2" spans="1:9" x14ac:dyDescent="0.35">
      <c r="A2" s="25">
        <v>101236</v>
      </c>
      <c r="B2" s="25" t="s">
        <v>78</v>
      </c>
      <c r="C2" s="25"/>
      <c r="D2" s="30"/>
      <c r="E2" s="26"/>
      <c r="F2" s="25"/>
      <c r="G2" s="26"/>
      <c r="H2" s="27">
        <v>309.38</v>
      </c>
      <c r="I2" s="3"/>
    </row>
    <row r="3" spans="1:9" x14ac:dyDescent="0.35">
      <c r="A3" s="22"/>
      <c r="B3" s="22"/>
      <c r="C3" s="22" t="s">
        <v>4</v>
      </c>
      <c r="D3" s="31">
        <f>VLOOKUP(C3,Materialstamm!B:H,7,0)</f>
        <v>101226</v>
      </c>
      <c r="E3" s="23">
        <v>2</v>
      </c>
      <c r="F3" s="22" t="str">
        <f>VLOOKUP(D3,Materialstamm!A:F,6,0)</f>
        <v>ST</v>
      </c>
      <c r="G3" s="22">
        <v>30.1</v>
      </c>
      <c r="H3" s="24">
        <v>60.2</v>
      </c>
      <c r="I3" s="3"/>
    </row>
    <row r="4" spans="1:9" x14ac:dyDescent="0.35">
      <c r="A4" s="22"/>
      <c r="B4" s="22"/>
      <c r="C4" s="22" t="s">
        <v>12</v>
      </c>
      <c r="D4" s="31">
        <f>VLOOKUP(C4,Materialstamm!B:H,7,0)</f>
        <v>101251</v>
      </c>
      <c r="E4" s="23">
        <v>1</v>
      </c>
      <c r="F4" s="22" t="str">
        <f>VLOOKUP(D4,Materialstamm!A:F,6,0)</f>
        <v>ST</v>
      </c>
      <c r="G4" s="22">
        <v>148.63999999999999</v>
      </c>
      <c r="H4" s="24">
        <v>148.63999999999999</v>
      </c>
      <c r="I4" s="3"/>
    </row>
    <row r="5" spans="1:9" x14ac:dyDescent="0.35">
      <c r="A5" s="22"/>
      <c r="B5" s="22"/>
      <c r="C5" s="22" t="s">
        <v>9</v>
      </c>
      <c r="D5" s="31">
        <f>VLOOKUP(C5,Materialstamm!B:H,7,0)</f>
        <v>101276</v>
      </c>
      <c r="E5" s="23">
        <v>3</v>
      </c>
      <c r="F5" s="22" t="str">
        <f>VLOOKUP(D5,Materialstamm!A:F,6,0)</f>
        <v>ST</v>
      </c>
      <c r="G5" s="22">
        <v>0.01</v>
      </c>
      <c r="H5" s="24">
        <v>0.03</v>
      </c>
      <c r="I5" s="3"/>
    </row>
    <row r="6" spans="1:9" x14ac:dyDescent="0.35">
      <c r="A6" s="22"/>
      <c r="B6" s="22"/>
      <c r="C6" s="22" t="s">
        <v>10</v>
      </c>
      <c r="D6" s="31">
        <f>VLOOKUP(C6,Materialstamm!B:H,7,0)</f>
        <v>101277</v>
      </c>
      <c r="E6" s="23">
        <v>3</v>
      </c>
      <c r="F6" s="22" t="str">
        <f>VLOOKUP(D6,Materialstamm!A:F,6,0)</f>
        <v>ST</v>
      </c>
      <c r="G6" s="22">
        <v>0.01</v>
      </c>
      <c r="H6" s="24">
        <v>0.03</v>
      </c>
      <c r="I6" s="3"/>
    </row>
    <row r="7" spans="1:9" x14ac:dyDescent="0.35">
      <c r="A7" s="22"/>
      <c r="B7" s="22"/>
      <c r="C7" s="22" t="s">
        <v>11</v>
      </c>
      <c r="D7" s="31">
        <f>VLOOKUP(C7,Materialstamm!B:H,7,0)</f>
        <v>101223</v>
      </c>
      <c r="E7" s="23">
        <v>4</v>
      </c>
      <c r="F7" s="22" t="str">
        <f>VLOOKUP(D7,Materialstamm!A:F,6,0)</f>
        <v>ST</v>
      </c>
      <c r="G7" s="22">
        <v>0.02</v>
      </c>
      <c r="H7" s="24">
        <v>0.08</v>
      </c>
      <c r="I7" s="3"/>
    </row>
    <row r="8" spans="1:9" x14ac:dyDescent="0.35">
      <c r="A8" s="22"/>
      <c r="B8" s="22"/>
      <c r="C8" s="22" t="s">
        <v>15</v>
      </c>
      <c r="D8" s="31">
        <f>VLOOKUP(C8,Materialstamm!B:H,7,0)</f>
        <v>101278</v>
      </c>
      <c r="E8" s="23">
        <v>1</v>
      </c>
      <c r="F8" s="22" t="str">
        <f>VLOOKUP(D8,Materialstamm!A:F,6,0)</f>
        <v>ST</v>
      </c>
      <c r="G8" s="22">
        <v>14.6</v>
      </c>
      <c r="H8" s="24">
        <v>14.6</v>
      </c>
      <c r="I8" s="3"/>
    </row>
    <row r="9" spans="1:9" x14ac:dyDescent="0.35">
      <c r="A9" s="22"/>
      <c r="B9" s="22"/>
      <c r="C9" s="22" t="s">
        <v>87</v>
      </c>
      <c r="D9" s="31">
        <f>VLOOKUP(C9,Materialstamm!B:H,7,0)</f>
        <v>101232</v>
      </c>
      <c r="E9" s="23">
        <v>1</v>
      </c>
      <c r="F9" s="22" t="str">
        <f>VLOOKUP(D9,Materialstamm!A:F,6,0)</f>
        <v>ST</v>
      </c>
      <c r="G9" s="22">
        <v>22.5</v>
      </c>
      <c r="H9" s="24">
        <v>22.5</v>
      </c>
      <c r="I9" s="3"/>
    </row>
    <row r="10" spans="1:9" x14ac:dyDescent="0.35">
      <c r="A10" s="22"/>
      <c r="B10" s="22"/>
      <c r="C10" s="22" t="s">
        <v>16</v>
      </c>
      <c r="D10" s="31">
        <f>VLOOKUP(C10,Materialstamm!B:H,7,0)</f>
        <v>101235</v>
      </c>
      <c r="E10" s="23">
        <v>1</v>
      </c>
      <c r="F10" s="22" t="str">
        <f>VLOOKUP(D10,Materialstamm!A:F,6,0)</f>
        <v>ST</v>
      </c>
      <c r="G10" s="22">
        <v>8</v>
      </c>
      <c r="H10" s="24">
        <v>8</v>
      </c>
      <c r="I10" s="3"/>
    </row>
    <row r="11" spans="1:9" x14ac:dyDescent="0.35">
      <c r="A11" s="22"/>
      <c r="B11" s="22"/>
      <c r="C11" s="22" t="s">
        <v>19</v>
      </c>
      <c r="D11" s="31">
        <f>VLOOKUP(C11,Materialstamm!B:H,7,0)</f>
        <v>101222</v>
      </c>
      <c r="E11" s="23">
        <v>1</v>
      </c>
      <c r="F11" s="22" t="str">
        <f>VLOOKUP(D11,Materialstamm!A:F,6,0)</f>
        <v>ST</v>
      </c>
      <c r="G11" s="22">
        <v>0.3</v>
      </c>
      <c r="H11" s="24">
        <v>0.3</v>
      </c>
      <c r="I11" s="3"/>
    </row>
    <row r="12" spans="1:9" x14ac:dyDescent="0.35">
      <c r="A12" s="22"/>
      <c r="B12" s="22"/>
      <c r="C12" s="22" t="s">
        <v>73</v>
      </c>
      <c r="D12" s="31" t="s">
        <v>70</v>
      </c>
      <c r="E12" s="23">
        <v>0.25</v>
      </c>
      <c r="F12" s="22" t="s">
        <v>76</v>
      </c>
      <c r="G12" s="22">
        <v>28</v>
      </c>
      <c r="H12" s="24">
        <v>7</v>
      </c>
      <c r="I12" s="3"/>
    </row>
    <row r="13" spans="1:9" x14ac:dyDescent="0.35">
      <c r="A13" s="22"/>
      <c r="B13" s="22"/>
      <c r="C13" s="22" t="s">
        <v>73</v>
      </c>
      <c r="D13" s="31" t="s">
        <v>71</v>
      </c>
      <c r="E13" s="23">
        <v>0.8</v>
      </c>
      <c r="F13" s="22" t="s">
        <v>76</v>
      </c>
      <c r="G13" s="22">
        <v>60</v>
      </c>
      <c r="H13" s="24">
        <v>48</v>
      </c>
      <c r="I13" s="3"/>
    </row>
    <row r="15" spans="1:9" x14ac:dyDescent="0.35">
      <c r="A15" s="25">
        <v>101237</v>
      </c>
      <c r="B15" s="25" t="s">
        <v>79</v>
      </c>
      <c r="C15" s="25"/>
      <c r="D15" s="30"/>
      <c r="E15" s="26"/>
      <c r="F15" s="25"/>
      <c r="G15" s="26"/>
      <c r="H15" s="27">
        <v>315.96000000000004</v>
      </c>
      <c r="I15" s="3"/>
    </row>
    <row r="16" spans="1:9" x14ac:dyDescent="0.35">
      <c r="A16" s="22"/>
      <c r="B16" s="22"/>
      <c r="C16" s="22" t="s">
        <v>25</v>
      </c>
      <c r="D16" s="31">
        <f>VLOOKUP(C16,Materialstamm!B:H,7,0)</f>
        <v>101227</v>
      </c>
      <c r="E16" s="23">
        <v>2</v>
      </c>
      <c r="F16" s="22" t="str">
        <f>VLOOKUP(D16,Materialstamm!A:F,6,0)</f>
        <v>ST</v>
      </c>
      <c r="G16" s="22">
        <v>31.62</v>
      </c>
      <c r="H16" s="24">
        <v>63.24</v>
      </c>
      <c r="I16" s="3"/>
    </row>
    <row r="17" spans="1:9" x14ac:dyDescent="0.35">
      <c r="A17" s="22"/>
      <c r="B17" s="22"/>
      <c r="C17" s="22" t="s">
        <v>30</v>
      </c>
      <c r="D17" s="31">
        <f>VLOOKUP(C17,Materialstamm!B:H,7,0)</f>
        <v>101252</v>
      </c>
      <c r="E17" s="23">
        <v>1</v>
      </c>
      <c r="F17" s="22" t="str">
        <f>VLOOKUP(D17,Materialstamm!A:F,6,0)</f>
        <v>ST</v>
      </c>
      <c r="G17" s="22">
        <v>152.18</v>
      </c>
      <c r="H17" s="24">
        <v>152.18</v>
      </c>
      <c r="I17" s="3"/>
    </row>
    <row r="18" spans="1:9" x14ac:dyDescent="0.35">
      <c r="A18" s="22"/>
      <c r="B18" s="22"/>
      <c r="C18" s="22" t="s">
        <v>9</v>
      </c>
      <c r="D18" s="31">
        <f>VLOOKUP(C18,Materialstamm!B:H,7,0)</f>
        <v>101276</v>
      </c>
      <c r="E18" s="23">
        <v>3</v>
      </c>
      <c r="F18" s="22" t="str">
        <f>VLOOKUP(D18,Materialstamm!A:F,6,0)</f>
        <v>ST</v>
      </c>
      <c r="G18" s="22">
        <v>0.01</v>
      </c>
      <c r="H18" s="24">
        <v>0.03</v>
      </c>
      <c r="I18" s="3"/>
    </row>
    <row r="19" spans="1:9" x14ac:dyDescent="0.35">
      <c r="A19" s="22"/>
      <c r="B19" s="22"/>
      <c r="C19" s="22" t="s">
        <v>10</v>
      </c>
      <c r="D19" s="31">
        <f>VLOOKUP(C19,Materialstamm!B:H,7,0)</f>
        <v>101277</v>
      </c>
      <c r="E19" s="23">
        <v>3</v>
      </c>
      <c r="F19" s="22" t="str">
        <f>VLOOKUP(D19,Materialstamm!A:F,6,0)</f>
        <v>ST</v>
      </c>
      <c r="G19" s="22">
        <v>0.01</v>
      </c>
      <c r="H19" s="24">
        <v>0.03</v>
      </c>
      <c r="I19" s="3"/>
    </row>
    <row r="20" spans="1:9" x14ac:dyDescent="0.35">
      <c r="A20" s="22"/>
      <c r="B20" s="22"/>
      <c r="C20" s="22" t="s">
        <v>11</v>
      </c>
      <c r="D20" s="31">
        <f>VLOOKUP(C20,Materialstamm!B:H,7,0)</f>
        <v>101223</v>
      </c>
      <c r="E20" s="23">
        <v>4</v>
      </c>
      <c r="F20" s="22" t="str">
        <f>VLOOKUP(D20,Materialstamm!A:F,6,0)</f>
        <v>ST</v>
      </c>
      <c r="G20" s="22">
        <v>0.02</v>
      </c>
      <c r="H20" s="24">
        <v>0.08</v>
      </c>
      <c r="I20" s="3"/>
    </row>
    <row r="21" spans="1:9" x14ac:dyDescent="0.35">
      <c r="A21" s="22"/>
      <c r="B21" s="22"/>
      <c r="C21" s="22" t="s">
        <v>15</v>
      </c>
      <c r="D21" s="31">
        <f>VLOOKUP(C21,Materialstamm!B:H,7,0)</f>
        <v>101278</v>
      </c>
      <c r="E21" s="23">
        <v>1</v>
      </c>
      <c r="F21" s="22" t="str">
        <f>VLOOKUP(D21,Materialstamm!A:F,6,0)</f>
        <v>ST</v>
      </c>
      <c r="G21" s="22">
        <v>14.6</v>
      </c>
      <c r="H21" s="24">
        <v>14.6</v>
      </c>
      <c r="I21" s="3"/>
    </row>
    <row r="22" spans="1:9" x14ac:dyDescent="0.35">
      <c r="A22" s="22"/>
      <c r="B22" s="22"/>
      <c r="C22" s="22" t="s">
        <v>87</v>
      </c>
      <c r="D22" s="31">
        <f>VLOOKUP(C22,Materialstamm!B:H,7,0)</f>
        <v>101232</v>
      </c>
      <c r="E22" s="23">
        <v>1</v>
      </c>
      <c r="F22" s="22" t="str">
        <f>VLOOKUP(D22,Materialstamm!A:F,6,0)</f>
        <v>ST</v>
      </c>
      <c r="G22" s="22">
        <v>22.5</v>
      </c>
      <c r="H22" s="24">
        <v>22.5</v>
      </c>
      <c r="I22" s="3"/>
    </row>
    <row r="23" spans="1:9" x14ac:dyDescent="0.35">
      <c r="A23" s="22"/>
      <c r="B23" s="22"/>
      <c r="C23" s="22" t="s">
        <v>16</v>
      </c>
      <c r="D23" s="31">
        <f>VLOOKUP(C23,Materialstamm!B:H,7,0)</f>
        <v>101235</v>
      </c>
      <c r="E23" s="23">
        <v>1</v>
      </c>
      <c r="F23" s="22" t="str">
        <f>VLOOKUP(D23,Materialstamm!A:F,6,0)</f>
        <v>ST</v>
      </c>
      <c r="G23" s="22">
        <v>8</v>
      </c>
      <c r="H23" s="24">
        <v>8</v>
      </c>
      <c r="I23" s="3"/>
    </row>
    <row r="24" spans="1:9" x14ac:dyDescent="0.35">
      <c r="A24" s="22"/>
      <c r="B24" s="22"/>
      <c r="C24" s="22" t="s">
        <v>19</v>
      </c>
      <c r="D24" s="31">
        <f>VLOOKUP(C24,Materialstamm!B:H,7,0)</f>
        <v>101222</v>
      </c>
      <c r="E24" s="23">
        <v>1</v>
      </c>
      <c r="F24" s="22" t="str">
        <f>VLOOKUP(D24,Materialstamm!A:F,6,0)</f>
        <v>ST</v>
      </c>
      <c r="G24" s="22">
        <v>0.3</v>
      </c>
      <c r="H24" s="24">
        <v>0.3</v>
      </c>
      <c r="I24" s="3"/>
    </row>
    <row r="25" spans="1:9" x14ac:dyDescent="0.35">
      <c r="A25" s="22"/>
      <c r="B25" s="22"/>
      <c r="C25" s="22" t="s">
        <v>73</v>
      </c>
      <c r="D25" s="31" t="s">
        <v>70</v>
      </c>
      <c r="E25" s="23">
        <v>0.25</v>
      </c>
      <c r="F25" s="22" t="s">
        <v>76</v>
      </c>
      <c r="G25" s="22">
        <v>28</v>
      </c>
      <c r="H25" s="24">
        <v>7</v>
      </c>
      <c r="I25" s="3"/>
    </row>
    <row r="26" spans="1:9" x14ac:dyDescent="0.35">
      <c r="A26" s="22"/>
      <c r="B26" s="22"/>
      <c r="C26" s="22" t="s">
        <v>73</v>
      </c>
      <c r="D26" s="31" t="s">
        <v>71</v>
      </c>
      <c r="E26" s="23">
        <v>0.8</v>
      </c>
      <c r="F26" s="22" t="s">
        <v>76</v>
      </c>
      <c r="G26" s="22">
        <v>60</v>
      </c>
      <c r="H26" s="24">
        <v>48</v>
      </c>
      <c r="I26" s="3"/>
    </row>
    <row r="27" spans="1:9" x14ac:dyDescent="0.35">
      <c r="G27"/>
      <c r="H27" s="3"/>
      <c r="I27" s="3"/>
    </row>
    <row r="28" spans="1:9" x14ac:dyDescent="0.35">
      <c r="A28" s="25">
        <v>101239</v>
      </c>
      <c r="B28" s="25" t="s">
        <v>80</v>
      </c>
      <c r="C28" s="25"/>
      <c r="D28" s="30"/>
      <c r="E28" s="26"/>
      <c r="F28" s="25"/>
      <c r="G28" s="26"/>
      <c r="H28" s="27">
        <v>322.74</v>
      </c>
      <c r="I28" s="3"/>
    </row>
    <row r="29" spans="1:9" x14ac:dyDescent="0.35">
      <c r="A29" s="22"/>
      <c r="B29" s="22"/>
      <c r="C29" s="22" t="s">
        <v>31</v>
      </c>
      <c r="D29" s="31">
        <f>VLOOKUP(C29,Materialstamm!B:H,7,0)</f>
        <v>101229</v>
      </c>
      <c r="E29" s="23">
        <v>2</v>
      </c>
      <c r="F29" s="22" t="str">
        <f>VLOOKUP(D29,Materialstamm!A:F,6,0)</f>
        <v>ST</v>
      </c>
      <c r="G29" s="22">
        <v>33.24</v>
      </c>
      <c r="H29" s="24">
        <v>66.48</v>
      </c>
      <c r="I29" s="3"/>
    </row>
    <row r="30" spans="1:9" x14ac:dyDescent="0.35">
      <c r="A30" s="22"/>
      <c r="B30" s="22"/>
      <c r="C30" s="22" t="s">
        <v>46</v>
      </c>
      <c r="D30" s="31">
        <f>VLOOKUP(C30,Materialstamm!B:H,7,0)</f>
        <v>101254</v>
      </c>
      <c r="E30" s="23">
        <v>1</v>
      </c>
      <c r="F30" s="22" t="str">
        <f>VLOOKUP(D30,Materialstamm!A:F,6,0)</f>
        <v>ST</v>
      </c>
      <c r="G30" s="22">
        <v>155.72</v>
      </c>
      <c r="H30" s="24">
        <v>155.72</v>
      </c>
      <c r="I30" s="3"/>
    </row>
    <row r="31" spans="1:9" x14ac:dyDescent="0.35">
      <c r="A31" s="22"/>
      <c r="B31" s="22"/>
      <c r="C31" s="22" t="s">
        <v>9</v>
      </c>
      <c r="D31" s="31">
        <f>VLOOKUP(C31,Materialstamm!B:H,7,0)</f>
        <v>101276</v>
      </c>
      <c r="E31" s="23">
        <v>3</v>
      </c>
      <c r="F31" s="22" t="str">
        <f>VLOOKUP(D31,Materialstamm!A:F,6,0)</f>
        <v>ST</v>
      </c>
      <c r="G31" s="22">
        <v>0.01</v>
      </c>
      <c r="H31" s="24">
        <v>0.03</v>
      </c>
      <c r="I31" s="3"/>
    </row>
    <row r="32" spans="1:9" x14ac:dyDescent="0.35">
      <c r="A32" s="22"/>
      <c r="B32" s="22"/>
      <c r="C32" s="22" t="s">
        <v>10</v>
      </c>
      <c r="D32" s="31">
        <f>VLOOKUP(C32,Materialstamm!B:H,7,0)</f>
        <v>101277</v>
      </c>
      <c r="E32" s="23">
        <v>3</v>
      </c>
      <c r="F32" s="22" t="str">
        <f>VLOOKUP(D32,Materialstamm!A:F,6,0)</f>
        <v>ST</v>
      </c>
      <c r="G32" s="22">
        <v>0.01</v>
      </c>
      <c r="H32" s="24">
        <v>0.03</v>
      </c>
      <c r="I32" s="3"/>
    </row>
    <row r="33" spans="1:9" x14ac:dyDescent="0.35">
      <c r="A33" s="22"/>
      <c r="B33" s="22"/>
      <c r="C33" s="22" t="s">
        <v>11</v>
      </c>
      <c r="D33" s="31">
        <f>VLOOKUP(C33,Materialstamm!B:H,7,0)</f>
        <v>101223</v>
      </c>
      <c r="E33" s="23">
        <v>4</v>
      </c>
      <c r="F33" s="22" t="str">
        <f>VLOOKUP(D33,Materialstamm!A:F,6,0)</f>
        <v>ST</v>
      </c>
      <c r="G33" s="22">
        <v>0.02</v>
      </c>
      <c r="H33" s="24">
        <v>0.08</v>
      </c>
      <c r="I33" s="3"/>
    </row>
    <row r="34" spans="1:9" x14ac:dyDescent="0.35">
      <c r="A34" s="22"/>
      <c r="B34" s="22"/>
      <c r="C34" s="22" t="s">
        <v>15</v>
      </c>
      <c r="D34" s="31">
        <f>VLOOKUP(C34,Materialstamm!B:H,7,0)</f>
        <v>101278</v>
      </c>
      <c r="E34" s="23">
        <v>1</v>
      </c>
      <c r="F34" s="22" t="str">
        <f>VLOOKUP(D34,Materialstamm!A:F,6,0)</f>
        <v>ST</v>
      </c>
      <c r="G34" s="22">
        <v>14.6</v>
      </c>
      <c r="H34" s="24">
        <v>14.6</v>
      </c>
      <c r="I34" s="3"/>
    </row>
    <row r="35" spans="1:9" x14ac:dyDescent="0.35">
      <c r="A35" s="22"/>
      <c r="B35" s="22"/>
      <c r="C35" s="22" t="s">
        <v>87</v>
      </c>
      <c r="D35" s="31">
        <f>VLOOKUP(C35,Materialstamm!B:H,7,0)</f>
        <v>101232</v>
      </c>
      <c r="E35" s="23">
        <v>1</v>
      </c>
      <c r="F35" s="22" t="str">
        <f>VLOOKUP(D35,Materialstamm!A:F,6,0)</f>
        <v>ST</v>
      </c>
      <c r="G35" s="22">
        <v>22.5</v>
      </c>
      <c r="H35" s="24">
        <v>22.5</v>
      </c>
      <c r="I35" s="3"/>
    </row>
    <row r="36" spans="1:9" x14ac:dyDescent="0.35">
      <c r="A36" s="22"/>
      <c r="B36" s="22"/>
      <c r="C36" s="22" t="s">
        <v>16</v>
      </c>
      <c r="D36" s="31">
        <f>VLOOKUP(C36,Materialstamm!B:H,7,0)</f>
        <v>101235</v>
      </c>
      <c r="E36" s="23">
        <v>1</v>
      </c>
      <c r="F36" s="22" t="str">
        <f>VLOOKUP(D36,Materialstamm!A:F,6,0)</f>
        <v>ST</v>
      </c>
      <c r="G36" s="22">
        <v>8</v>
      </c>
      <c r="H36" s="24">
        <v>8</v>
      </c>
      <c r="I36" s="3"/>
    </row>
    <row r="37" spans="1:9" x14ac:dyDescent="0.35">
      <c r="A37" s="22"/>
      <c r="B37" s="22"/>
      <c r="C37" s="22" t="s">
        <v>19</v>
      </c>
      <c r="D37" s="31">
        <f>VLOOKUP(C37,Materialstamm!B:H,7,0)</f>
        <v>101222</v>
      </c>
      <c r="E37" s="23">
        <v>1</v>
      </c>
      <c r="F37" s="22" t="str">
        <f>VLOOKUP(D37,Materialstamm!A:F,6,0)</f>
        <v>ST</v>
      </c>
      <c r="G37" s="22">
        <v>0.3</v>
      </c>
      <c r="H37" s="24">
        <v>0.3</v>
      </c>
      <c r="I37" s="3"/>
    </row>
    <row r="38" spans="1:9" x14ac:dyDescent="0.35">
      <c r="A38" s="22"/>
      <c r="B38" s="22"/>
      <c r="C38" s="22" t="s">
        <v>73</v>
      </c>
      <c r="D38" s="31" t="s">
        <v>70</v>
      </c>
      <c r="E38" s="23">
        <v>0.25</v>
      </c>
      <c r="F38" s="22" t="s">
        <v>76</v>
      </c>
      <c r="G38" s="22">
        <v>28</v>
      </c>
      <c r="H38" s="24">
        <v>7</v>
      </c>
      <c r="I38" s="3"/>
    </row>
    <row r="39" spans="1:9" x14ac:dyDescent="0.35">
      <c r="A39" s="22"/>
      <c r="B39" s="22"/>
      <c r="C39" s="22" t="s">
        <v>73</v>
      </c>
      <c r="D39" s="31" t="s">
        <v>71</v>
      </c>
      <c r="E39" s="23">
        <v>0.8</v>
      </c>
      <c r="F39" s="22" t="s">
        <v>76</v>
      </c>
      <c r="G39" s="22">
        <v>60</v>
      </c>
      <c r="H39" s="24">
        <v>48</v>
      </c>
      <c r="I39" s="3"/>
    </row>
    <row r="40" spans="1:9" x14ac:dyDescent="0.35">
      <c r="G40"/>
      <c r="H40" s="3"/>
      <c r="I40" s="3"/>
    </row>
    <row r="41" spans="1:9" x14ac:dyDescent="0.35">
      <c r="A41" s="25">
        <v>101238</v>
      </c>
      <c r="B41" s="25" t="s">
        <v>81</v>
      </c>
      <c r="C41" s="25"/>
      <c r="D41" s="30"/>
      <c r="E41" s="26"/>
      <c r="F41" s="25"/>
      <c r="G41" s="26"/>
      <c r="H41" s="27">
        <v>320.48500000000001</v>
      </c>
      <c r="I41" s="3"/>
    </row>
    <row r="42" spans="1:9" x14ac:dyDescent="0.35">
      <c r="A42" s="22"/>
      <c r="B42" s="22"/>
      <c r="C42" s="22" t="s">
        <v>36</v>
      </c>
      <c r="D42" s="31">
        <f>VLOOKUP(C42,Materialstamm!B:H,7,0)</f>
        <v>101228</v>
      </c>
      <c r="E42" s="23">
        <v>2</v>
      </c>
      <c r="F42" s="22" t="str">
        <f>VLOOKUP(D42,Materialstamm!A:F,6,0)</f>
        <v>ST</v>
      </c>
      <c r="G42" s="22">
        <v>32.68</v>
      </c>
      <c r="H42" s="24">
        <v>65.36</v>
      </c>
      <c r="I42" s="3"/>
    </row>
    <row r="43" spans="1:9" x14ac:dyDescent="0.35">
      <c r="A43" s="22"/>
      <c r="B43" s="22"/>
      <c r="C43" s="22" t="s">
        <v>47</v>
      </c>
      <c r="D43" s="31">
        <f>VLOOKUP(C43,Materialstamm!B:H,7,0)</f>
        <v>101253</v>
      </c>
      <c r="E43" s="23">
        <v>1</v>
      </c>
      <c r="F43" s="22" t="str">
        <f>VLOOKUP(D43,Materialstamm!A:F,6,0)</f>
        <v>ST</v>
      </c>
      <c r="G43" s="22">
        <v>154.58499999999998</v>
      </c>
      <c r="H43" s="24">
        <v>154.58499999999998</v>
      </c>
      <c r="I43" s="3"/>
    </row>
    <row r="44" spans="1:9" x14ac:dyDescent="0.35">
      <c r="A44" s="22"/>
      <c r="B44" s="22"/>
      <c r="C44" s="22" t="s">
        <v>9</v>
      </c>
      <c r="D44" s="31">
        <f>VLOOKUP(C44,Materialstamm!B:H,7,0)</f>
        <v>101276</v>
      </c>
      <c r="E44" s="23">
        <v>3</v>
      </c>
      <c r="F44" s="22" t="str">
        <f>VLOOKUP(D44,Materialstamm!A:F,6,0)</f>
        <v>ST</v>
      </c>
      <c r="G44" s="22">
        <v>0.01</v>
      </c>
      <c r="H44" s="24">
        <v>0.03</v>
      </c>
      <c r="I44" s="3"/>
    </row>
    <row r="45" spans="1:9" x14ac:dyDescent="0.35">
      <c r="A45" s="22"/>
      <c r="B45" s="22"/>
      <c r="C45" s="22" t="s">
        <v>10</v>
      </c>
      <c r="D45" s="31">
        <f>VLOOKUP(C45,Materialstamm!B:H,7,0)</f>
        <v>101277</v>
      </c>
      <c r="E45" s="23">
        <v>3</v>
      </c>
      <c r="F45" s="22" t="str">
        <f>VLOOKUP(D45,Materialstamm!A:F,6,0)</f>
        <v>ST</v>
      </c>
      <c r="G45" s="22">
        <v>0.01</v>
      </c>
      <c r="H45" s="24">
        <v>0.03</v>
      </c>
      <c r="I45" s="3"/>
    </row>
    <row r="46" spans="1:9" x14ac:dyDescent="0.35">
      <c r="A46" s="22"/>
      <c r="B46" s="22"/>
      <c r="C46" s="22" t="s">
        <v>11</v>
      </c>
      <c r="D46" s="31">
        <f>VLOOKUP(C46,Materialstamm!B:H,7,0)</f>
        <v>101223</v>
      </c>
      <c r="E46" s="23">
        <v>4</v>
      </c>
      <c r="F46" s="22" t="str">
        <f>VLOOKUP(D46,Materialstamm!A:F,6,0)</f>
        <v>ST</v>
      </c>
      <c r="G46" s="22">
        <v>0.02</v>
      </c>
      <c r="H46" s="24">
        <v>0.08</v>
      </c>
      <c r="I46" s="3"/>
    </row>
    <row r="47" spans="1:9" x14ac:dyDescent="0.35">
      <c r="A47" s="22"/>
      <c r="B47" s="22"/>
      <c r="C47" s="22" t="s">
        <v>15</v>
      </c>
      <c r="D47" s="31">
        <f>VLOOKUP(C47,Materialstamm!B:H,7,0)</f>
        <v>101278</v>
      </c>
      <c r="E47" s="23">
        <v>1</v>
      </c>
      <c r="F47" s="22" t="str">
        <f>VLOOKUP(D47,Materialstamm!A:F,6,0)</f>
        <v>ST</v>
      </c>
      <c r="G47" s="22">
        <v>14.6</v>
      </c>
      <c r="H47" s="24">
        <v>14.6</v>
      </c>
      <c r="I47" s="3"/>
    </row>
    <row r="48" spans="1:9" x14ac:dyDescent="0.35">
      <c r="A48" s="22"/>
      <c r="B48" s="22"/>
      <c r="C48" s="22" t="s">
        <v>87</v>
      </c>
      <c r="D48" s="31">
        <f>VLOOKUP(C48,Materialstamm!B:H,7,0)</f>
        <v>101232</v>
      </c>
      <c r="E48" s="23">
        <v>1</v>
      </c>
      <c r="F48" s="22" t="str">
        <f>VLOOKUP(D48,Materialstamm!A:F,6,0)</f>
        <v>ST</v>
      </c>
      <c r="G48" s="22">
        <v>22.5</v>
      </c>
      <c r="H48" s="24">
        <v>22.5</v>
      </c>
      <c r="I48" s="3"/>
    </row>
    <row r="49" spans="1:9" x14ac:dyDescent="0.35">
      <c r="A49" s="22"/>
      <c r="B49" s="22"/>
      <c r="C49" s="22" t="s">
        <v>16</v>
      </c>
      <c r="D49" s="31">
        <f>VLOOKUP(C49,Materialstamm!B:H,7,0)</f>
        <v>101235</v>
      </c>
      <c r="E49" s="23">
        <v>1</v>
      </c>
      <c r="F49" s="22" t="str">
        <f>VLOOKUP(D49,Materialstamm!A:F,6,0)</f>
        <v>ST</v>
      </c>
      <c r="G49" s="22">
        <v>8</v>
      </c>
      <c r="H49" s="24">
        <v>8</v>
      </c>
      <c r="I49" s="3"/>
    </row>
    <row r="50" spans="1:9" x14ac:dyDescent="0.35">
      <c r="A50" s="22"/>
      <c r="B50" s="22"/>
      <c r="C50" s="22" t="s">
        <v>19</v>
      </c>
      <c r="D50" s="31">
        <f>VLOOKUP(C50,Materialstamm!B:H,7,0)</f>
        <v>101222</v>
      </c>
      <c r="E50" s="23">
        <v>1</v>
      </c>
      <c r="F50" s="22" t="str">
        <f>VLOOKUP(D50,Materialstamm!A:F,6,0)</f>
        <v>ST</v>
      </c>
      <c r="G50" s="22">
        <v>0.3</v>
      </c>
      <c r="H50" s="24">
        <v>0.3</v>
      </c>
      <c r="I50" s="3"/>
    </row>
    <row r="51" spans="1:9" x14ac:dyDescent="0.35">
      <c r="A51" s="22"/>
      <c r="B51" s="22"/>
      <c r="C51" s="22" t="s">
        <v>73</v>
      </c>
      <c r="D51" s="31" t="s">
        <v>70</v>
      </c>
      <c r="E51" s="23">
        <v>0.25</v>
      </c>
      <c r="F51" s="22" t="s">
        <v>76</v>
      </c>
      <c r="G51" s="22">
        <v>28</v>
      </c>
      <c r="H51" s="24">
        <v>7</v>
      </c>
      <c r="I51" s="3"/>
    </row>
    <row r="52" spans="1:9" x14ac:dyDescent="0.35">
      <c r="A52" s="22"/>
      <c r="B52" s="22"/>
      <c r="C52" s="22" t="s">
        <v>73</v>
      </c>
      <c r="D52" s="31" t="s">
        <v>71</v>
      </c>
      <c r="E52" s="23">
        <v>0.8</v>
      </c>
      <c r="F52" s="22" t="s">
        <v>76</v>
      </c>
      <c r="G52" s="22">
        <v>60</v>
      </c>
      <c r="H52" s="24">
        <v>48</v>
      </c>
      <c r="I52" s="3"/>
    </row>
    <row r="53" spans="1:9" x14ac:dyDescent="0.35">
      <c r="G53"/>
      <c r="H53" s="3"/>
      <c r="I53" s="3"/>
    </row>
    <row r="54" spans="1:9" x14ac:dyDescent="0.35">
      <c r="A54" s="25">
        <v>101240</v>
      </c>
      <c r="B54" s="25" t="s">
        <v>82</v>
      </c>
      <c r="C54" s="25"/>
      <c r="D54" s="30"/>
      <c r="E54" s="26"/>
      <c r="F54" s="25"/>
      <c r="G54" s="26"/>
      <c r="H54" s="27">
        <v>328</v>
      </c>
      <c r="I54" s="3"/>
    </row>
    <row r="55" spans="1:9" x14ac:dyDescent="0.35">
      <c r="A55" s="22"/>
      <c r="B55" s="22"/>
      <c r="C55" s="22" t="s">
        <v>41</v>
      </c>
      <c r="D55" s="31">
        <f>VLOOKUP(C55,Materialstamm!B:H,7,0)</f>
        <v>101230</v>
      </c>
      <c r="E55" s="23">
        <v>2</v>
      </c>
      <c r="F55" s="22" t="str">
        <f>VLOOKUP(D55,Materialstamm!A:F,6,0)</f>
        <v>ST</v>
      </c>
      <c r="G55" s="22">
        <v>34.1</v>
      </c>
      <c r="H55" s="24">
        <v>68.2</v>
      </c>
      <c r="I55" s="3"/>
    </row>
    <row r="56" spans="1:9" x14ac:dyDescent="0.35">
      <c r="A56" s="22"/>
      <c r="B56" s="22"/>
      <c r="C56" s="22" t="s">
        <v>48</v>
      </c>
      <c r="D56" s="31">
        <f>VLOOKUP(C56,Materialstamm!B:H,7,0)</f>
        <v>101255</v>
      </c>
      <c r="E56" s="23">
        <v>1</v>
      </c>
      <c r="F56" s="22" t="str">
        <f>VLOOKUP(D56,Materialstamm!A:F,6,0)</f>
        <v>ST</v>
      </c>
      <c r="G56" s="22">
        <v>159.26</v>
      </c>
      <c r="H56" s="24">
        <v>159.26</v>
      </c>
      <c r="I56" s="3"/>
    </row>
    <row r="57" spans="1:9" x14ac:dyDescent="0.35">
      <c r="A57" s="22"/>
      <c r="B57" s="22"/>
      <c r="C57" s="22" t="s">
        <v>9</v>
      </c>
      <c r="D57" s="31">
        <f>VLOOKUP(C57,Materialstamm!B:H,7,0)</f>
        <v>101276</v>
      </c>
      <c r="E57" s="23">
        <v>3</v>
      </c>
      <c r="F57" s="22" t="str">
        <f>VLOOKUP(D57,Materialstamm!A:F,6,0)</f>
        <v>ST</v>
      </c>
      <c r="G57" s="22">
        <v>0.01</v>
      </c>
      <c r="H57" s="24">
        <v>0.03</v>
      </c>
      <c r="I57" s="3"/>
    </row>
    <row r="58" spans="1:9" x14ac:dyDescent="0.35">
      <c r="A58" s="22"/>
      <c r="B58" s="22"/>
      <c r="C58" s="22" t="s">
        <v>10</v>
      </c>
      <c r="D58" s="31">
        <f>VLOOKUP(C58,Materialstamm!B:H,7,0)</f>
        <v>101277</v>
      </c>
      <c r="E58" s="23">
        <v>3</v>
      </c>
      <c r="F58" s="22" t="str">
        <f>VLOOKUP(D58,Materialstamm!A:F,6,0)</f>
        <v>ST</v>
      </c>
      <c r="G58" s="22">
        <v>0.01</v>
      </c>
      <c r="H58" s="24">
        <v>0.03</v>
      </c>
      <c r="I58" s="3"/>
    </row>
    <row r="59" spans="1:9" x14ac:dyDescent="0.35">
      <c r="A59" s="22"/>
      <c r="B59" s="22"/>
      <c r="C59" s="22" t="s">
        <v>11</v>
      </c>
      <c r="D59" s="31">
        <f>VLOOKUP(C59,Materialstamm!B:H,7,0)</f>
        <v>101223</v>
      </c>
      <c r="E59" s="23">
        <v>4</v>
      </c>
      <c r="F59" s="22" t="str">
        <f>VLOOKUP(D59,Materialstamm!A:F,6,0)</f>
        <v>ST</v>
      </c>
      <c r="G59" s="22">
        <v>0.02</v>
      </c>
      <c r="H59" s="24">
        <v>0.08</v>
      </c>
      <c r="I59" s="3"/>
    </row>
    <row r="60" spans="1:9" x14ac:dyDescent="0.35">
      <c r="A60" s="22"/>
      <c r="B60" s="22"/>
      <c r="C60" s="22" t="s">
        <v>15</v>
      </c>
      <c r="D60" s="31">
        <f>VLOOKUP(C60,Materialstamm!B:H,7,0)</f>
        <v>101278</v>
      </c>
      <c r="E60" s="23">
        <v>1</v>
      </c>
      <c r="F60" s="22" t="str">
        <f>VLOOKUP(D60,Materialstamm!A:F,6,0)</f>
        <v>ST</v>
      </c>
      <c r="G60" s="22">
        <v>14.6</v>
      </c>
      <c r="H60" s="24">
        <v>14.6</v>
      </c>
      <c r="I60" s="3"/>
    </row>
    <row r="61" spans="1:9" x14ac:dyDescent="0.35">
      <c r="A61" s="22"/>
      <c r="B61" s="22"/>
      <c r="C61" s="22" t="s">
        <v>87</v>
      </c>
      <c r="D61" s="31">
        <f>VLOOKUP(C61,Materialstamm!B:H,7,0)</f>
        <v>101232</v>
      </c>
      <c r="E61" s="23">
        <v>1</v>
      </c>
      <c r="F61" s="22" t="str">
        <f>VLOOKUP(D61,Materialstamm!A:F,6,0)</f>
        <v>ST</v>
      </c>
      <c r="G61" s="22">
        <v>22.5</v>
      </c>
      <c r="H61" s="24">
        <v>22.5</v>
      </c>
      <c r="I61" s="3"/>
    </row>
    <row r="62" spans="1:9" x14ac:dyDescent="0.35">
      <c r="A62" s="22"/>
      <c r="B62" s="22"/>
      <c r="C62" s="22" t="s">
        <v>16</v>
      </c>
      <c r="D62" s="31">
        <f>VLOOKUP(C62,Materialstamm!B:H,7,0)</f>
        <v>101235</v>
      </c>
      <c r="E62" s="23">
        <v>1</v>
      </c>
      <c r="F62" s="22" t="str">
        <f>VLOOKUP(D62,Materialstamm!A:F,6,0)</f>
        <v>ST</v>
      </c>
      <c r="G62" s="22">
        <v>8</v>
      </c>
      <c r="H62" s="24">
        <v>8</v>
      </c>
      <c r="I62" s="3"/>
    </row>
    <row r="63" spans="1:9" x14ac:dyDescent="0.35">
      <c r="A63" s="22"/>
      <c r="B63" s="22"/>
      <c r="C63" s="22" t="s">
        <v>19</v>
      </c>
      <c r="D63" s="31">
        <f>VLOOKUP(C63,Materialstamm!B:H,7,0)</f>
        <v>101222</v>
      </c>
      <c r="E63" s="23">
        <v>1</v>
      </c>
      <c r="F63" s="22" t="str">
        <f>VLOOKUP(D63,Materialstamm!A:F,6,0)</f>
        <v>ST</v>
      </c>
      <c r="G63" s="22">
        <v>0.3</v>
      </c>
      <c r="H63" s="24">
        <v>0.3</v>
      </c>
      <c r="I63" s="3"/>
    </row>
    <row r="64" spans="1:9" x14ac:dyDescent="0.35">
      <c r="A64" s="22"/>
      <c r="B64" s="22"/>
      <c r="C64" s="22" t="s">
        <v>73</v>
      </c>
      <c r="D64" s="31" t="s">
        <v>70</v>
      </c>
      <c r="E64" s="23">
        <v>0.25</v>
      </c>
      <c r="F64" s="22" t="s">
        <v>76</v>
      </c>
      <c r="G64" s="22">
        <v>28</v>
      </c>
      <c r="H64" s="24">
        <v>7</v>
      </c>
      <c r="I64" s="3"/>
    </row>
    <row r="65" spans="1:9" x14ac:dyDescent="0.35">
      <c r="A65" s="22"/>
      <c r="B65" s="22"/>
      <c r="C65" s="22" t="s">
        <v>73</v>
      </c>
      <c r="D65" s="31" t="s">
        <v>71</v>
      </c>
      <c r="E65" s="23">
        <v>0.8</v>
      </c>
      <c r="F65" s="22" t="s">
        <v>76</v>
      </c>
      <c r="G65" s="22">
        <v>60</v>
      </c>
      <c r="H65" s="24">
        <v>48</v>
      </c>
      <c r="I65" s="3"/>
    </row>
    <row r="66" spans="1:9" x14ac:dyDescent="0.35">
      <c r="G66"/>
      <c r="H66" s="3"/>
      <c r="I66" s="3"/>
    </row>
    <row r="67" spans="1:9" x14ac:dyDescent="0.35">
      <c r="A67" s="25">
        <v>101241</v>
      </c>
      <c r="B67" s="25" t="s">
        <v>101</v>
      </c>
      <c r="C67" s="25"/>
      <c r="D67" s="30"/>
      <c r="E67" s="26"/>
      <c r="F67" s="25"/>
      <c r="G67" s="26"/>
      <c r="H67" s="27">
        <v>348.32</v>
      </c>
      <c r="I67" s="3"/>
    </row>
    <row r="68" spans="1:9" x14ac:dyDescent="0.35">
      <c r="A68" s="22"/>
      <c r="B68" s="22"/>
      <c r="C68" s="22" t="s">
        <v>4</v>
      </c>
      <c r="D68" s="31">
        <f>VLOOKUP(C68,Materialstamm!B:H,7,0)</f>
        <v>101226</v>
      </c>
      <c r="E68" s="23">
        <v>2</v>
      </c>
      <c r="F68" s="22" t="str">
        <f>VLOOKUP(D68,Materialstamm!A:F,6,0)</f>
        <v>ST</v>
      </c>
      <c r="G68" s="22">
        <v>30.1</v>
      </c>
      <c r="H68" s="24">
        <v>60.2</v>
      </c>
      <c r="I68" s="3"/>
    </row>
    <row r="69" spans="1:9" x14ac:dyDescent="0.35">
      <c r="A69" s="22"/>
      <c r="B69" s="22"/>
      <c r="C69" s="22" t="s">
        <v>51</v>
      </c>
      <c r="D69" s="31">
        <f>VLOOKUP(C69,Materialstamm!B:H,7,0)</f>
        <v>101256</v>
      </c>
      <c r="E69" s="23">
        <v>1</v>
      </c>
      <c r="F69" s="22" t="str">
        <f>VLOOKUP(D69,Materialstamm!A:F,6,0)</f>
        <v>ST</v>
      </c>
      <c r="G69" s="22">
        <v>187.68</v>
      </c>
      <c r="H69" s="24">
        <v>187.68</v>
      </c>
      <c r="I69" s="3"/>
    </row>
    <row r="70" spans="1:9" x14ac:dyDescent="0.35">
      <c r="A70" s="22"/>
      <c r="B70" s="22"/>
      <c r="C70" s="22" t="s">
        <v>9</v>
      </c>
      <c r="D70" s="31">
        <f>VLOOKUP(C70,Materialstamm!B:H,7,0)</f>
        <v>101276</v>
      </c>
      <c r="E70" s="23">
        <v>3</v>
      </c>
      <c r="F70" s="22" t="str">
        <f>VLOOKUP(D70,Materialstamm!A:F,6,0)</f>
        <v>ST</v>
      </c>
      <c r="G70" s="22">
        <v>0.01</v>
      </c>
      <c r="H70" s="24">
        <v>0.03</v>
      </c>
      <c r="I70" s="3"/>
    </row>
    <row r="71" spans="1:9" x14ac:dyDescent="0.35">
      <c r="A71" s="22"/>
      <c r="B71" s="22"/>
      <c r="C71" s="22" t="s">
        <v>10</v>
      </c>
      <c r="D71" s="31">
        <f>VLOOKUP(C71,Materialstamm!B:H,7,0)</f>
        <v>101277</v>
      </c>
      <c r="E71" s="23">
        <v>3</v>
      </c>
      <c r="F71" s="22" t="str">
        <f>VLOOKUP(D71,Materialstamm!A:F,6,0)</f>
        <v>ST</v>
      </c>
      <c r="G71" s="22">
        <v>0.01</v>
      </c>
      <c r="H71" s="24">
        <v>0.03</v>
      </c>
      <c r="I71" s="3"/>
    </row>
    <row r="72" spans="1:9" x14ac:dyDescent="0.35">
      <c r="A72" s="22"/>
      <c r="B72" s="22"/>
      <c r="C72" s="22" t="s">
        <v>11</v>
      </c>
      <c r="D72" s="31">
        <f>VLOOKUP(C72,Materialstamm!B:H,7,0)</f>
        <v>101223</v>
      </c>
      <c r="E72" s="23">
        <v>4</v>
      </c>
      <c r="F72" s="22" t="str">
        <f>VLOOKUP(D72,Materialstamm!A:F,6,0)</f>
        <v>ST</v>
      </c>
      <c r="G72" s="22">
        <v>0.02</v>
      </c>
      <c r="H72" s="24">
        <v>0.08</v>
      </c>
      <c r="I72" s="3"/>
    </row>
    <row r="73" spans="1:9" x14ac:dyDescent="0.35">
      <c r="A73" s="22"/>
      <c r="B73" s="22"/>
      <c r="C73" s="22" t="s">
        <v>127</v>
      </c>
      <c r="D73" s="31">
        <f>VLOOKUP(C73,Materialstamm!B:H,7,0)</f>
        <v>101279</v>
      </c>
      <c r="E73" s="23">
        <v>1</v>
      </c>
      <c r="F73" s="22" t="str">
        <f>VLOOKUP(D73,Materialstamm!A:F,6,0)</f>
        <v>ST</v>
      </c>
      <c r="G73" s="22">
        <v>14</v>
      </c>
      <c r="H73" s="24">
        <v>14</v>
      </c>
      <c r="I73" s="3"/>
    </row>
    <row r="74" spans="1:9" x14ac:dyDescent="0.35">
      <c r="A74" s="22"/>
      <c r="B74" s="22"/>
      <c r="C74" s="22" t="s">
        <v>85</v>
      </c>
      <c r="D74" s="31">
        <f>VLOOKUP(C74,Materialstamm!B:H,7,0)</f>
        <v>101233</v>
      </c>
      <c r="E74" s="23">
        <v>1</v>
      </c>
      <c r="F74" s="22" t="str">
        <f>VLOOKUP(D74,Materialstamm!A:F,6,0)</f>
        <v>ST</v>
      </c>
      <c r="G74" s="22">
        <v>23</v>
      </c>
      <c r="H74" s="24">
        <v>23</v>
      </c>
      <c r="I74" s="3"/>
    </row>
    <row r="75" spans="1:9" x14ac:dyDescent="0.35">
      <c r="A75" s="22"/>
      <c r="B75" s="22"/>
      <c r="C75" s="22" t="s">
        <v>16</v>
      </c>
      <c r="D75" s="31">
        <f>VLOOKUP(C75,Materialstamm!B:H,7,0)</f>
        <v>101235</v>
      </c>
      <c r="E75" s="23">
        <v>1</v>
      </c>
      <c r="F75" s="22" t="str">
        <f>VLOOKUP(D75,Materialstamm!A:F,6,0)</f>
        <v>ST</v>
      </c>
      <c r="G75" s="22">
        <v>8</v>
      </c>
      <c r="H75" s="24">
        <v>8</v>
      </c>
      <c r="I75" s="3"/>
    </row>
    <row r="76" spans="1:9" x14ac:dyDescent="0.35">
      <c r="A76" s="22"/>
      <c r="B76" s="22"/>
      <c r="C76" s="22" t="s">
        <v>19</v>
      </c>
      <c r="D76" s="31">
        <f>VLOOKUP(C76,Materialstamm!B:H,7,0)</f>
        <v>101222</v>
      </c>
      <c r="E76" s="23">
        <v>1</v>
      </c>
      <c r="F76" s="22" t="str">
        <f>VLOOKUP(D76,Materialstamm!A:F,6,0)</f>
        <v>ST</v>
      </c>
      <c r="G76" s="22">
        <v>0.3</v>
      </c>
      <c r="H76" s="24">
        <v>0.3</v>
      </c>
      <c r="I76" s="3"/>
    </row>
    <row r="77" spans="1:9" x14ac:dyDescent="0.35">
      <c r="A77" s="22"/>
      <c r="B77" s="22"/>
      <c r="C77" s="22" t="s">
        <v>73</v>
      </c>
      <c r="D77" s="31" t="s">
        <v>70</v>
      </c>
      <c r="E77" s="23">
        <v>0.25</v>
      </c>
      <c r="F77" s="22" t="s">
        <v>76</v>
      </c>
      <c r="G77" s="22">
        <v>28</v>
      </c>
      <c r="H77" s="24">
        <v>7</v>
      </c>
      <c r="I77" s="3"/>
    </row>
    <row r="78" spans="1:9" x14ac:dyDescent="0.35">
      <c r="A78" s="22"/>
      <c r="B78" s="22"/>
      <c r="C78" s="22" t="s">
        <v>73</v>
      </c>
      <c r="D78" s="31" t="s">
        <v>71</v>
      </c>
      <c r="E78" s="23">
        <v>0.8</v>
      </c>
      <c r="F78" s="22" t="s">
        <v>76</v>
      </c>
      <c r="G78" s="22">
        <v>60</v>
      </c>
      <c r="H78" s="24">
        <v>48</v>
      </c>
      <c r="I78" s="3"/>
    </row>
    <row r="79" spans="1:9" x14ac:dyDescent="0.35">
      <c r="G79"/>
      <c r="H79" s="3"/>
      <c r="I79" s="3"/>
    </row>
    <row r="80" spans="1:9" x14ac:dyDescent="0.35">
      <c r="A80" s="25">
        <v>101242</v>
      </c>
      <c r="B80" s="25" t="s">
        <v>102</v>
      </c>
      <c r="C80" s="25"/>
      <c r="D80" s="30"/>
      <c r="E80" s="26"/>
      <c r="F80" s="25"/>
      <c r="G80" s="26"/>
      <c r="H80" s="27">
        <v>357.33999999999992</v>
      </c>
      <c r="I80" s="3"/>
    </row>
    <row r="81" spans="1:9" x14ac:dyDescent="0.35">
      <c r="A81" s="22"/>
      <c r="B81" s="22"/>
      <c r="C81" s="22" t="s">
        <v>25</v>
      </c>
      <c r="D81" s="31">
        <f>VLOOKUP(C81,Materialstamm!B:H,7,0)</f>
        <v>101227</v>
      </c>
      <c r="E81" s="23">
        <v>2</v>
      </c>
      <c r="F81" s="22" t="str">
        <f>VLOOKUP(D81,Materialstamm!A:F,6,0)</f>
        <v>ST</v>
      </c>
      <c r="G81" s="22">
        <v>31.62</v>
      </c>
      <c r="H81" s="24">
        <v>63.24</v>
      </c>
      <c r="I81" s="3"/>
    </row>
    <row r="82" spans="1:9" x14ac:dyDescent="0.35">
      <c r="A82" s="22"/>
      <c r="B82" s="22"/>
      <c r="C82" s="22" t="s">
        <v>52</v>
      </c>
      <c r="D82" s="31">
        <f>VLOOKUP(C82,Materialstamm!B:H,7,0)</f>
        <v>101257</v>
      </c>
      <c r="E82" s="23">
        <v>1</v>
      </c>
      <c r="F82" s="22" t="str">
        <f>VLOOKUP(D82,Materialstamm!A:F,6,0)</f>
        <v>ST</v>
      </c>
      <c r="G82" s="22">
        <v>193.66</v>
      </c>
      <c r="H82" s="24">
        <v>193.66</v>
      </c>
      <c r="I82" s="3"/>
    </row>
    <row r="83" spans="1:9" x14ac:dyDescent="0.35">
      <c r="A83" s="22"/>
      <c r="B83" s="22"/>
      <c r="C83" s="22" t="s">
        <v>9</v>
      </c>
      <c r="D83" s="31">
        <f>VLOOKUP(C83,Materialstamm!B:H,7,0)</f>
        <v>101276</v>
      </c>
      <c r="E83" s="23">
        <v>3</v>
      </c>
      <c r="F83" s="22" t="str">
        <f>VLOOKUP(D83,Materialstamm!A:F,6,0)</f>
        <v>ST</v>
      </c>
      <c r="G83" s="22">
        <v>0.01</v>
      </c>
      <c r="H83" s="24">
        <v>0.03</v>
      </c>
      <c r="I83" s="3"/>
    </row>
    <row r="84" spans="1:9" x14ac:dyDescent="0.35">
      <c r="A84" s="22"/>
      <c r="B84" s="22"/>
      <c r="C84" s="22" t="s">
        <v>10</v>
      </c>
      <c r="D84" s="31">
        <f>VLOOKUP(C84,Materialstamm!B:H,7,0)</f>
        <v>101277</v>
      </c>
      <c r="E84" s="23">
        <v>3</v>
      </c>
      <c r="F84" s="22" t="str">
        <f>VLOOKUP(D84,Materialstamm!A:F,6,0)</f>
        <v>ST</v>
      </c>
      <c r="G84" s="22">
        <v>0.01</v>
      </c>
      <c r="H84" s="24">
        <v>0.03</v>
      </c>
      <c r="I84" s="3"/>
    </row>
    <row r="85" spans="1:9" x14ac:dyDescent="0.35">
      <c r="A85" s="22"/>
      <c r="B85" s="22"/>
      <c r="C85" s="22" t="s">
        <v>11</v>
      </c>
      <c r="D85" s="31">
        <f>VLOOKUP(C85,Materialstamm!B:H,7,0)</f>
        <v>101223</v>
      </c>
      <c r="E85" s="23">
        <v>4</v>
      </c>
      <c r="F85" s="22" t="str">
        <f>VLOOKUP(D85,Materialstamm!A:F,6,0)</f>
        <v>ST</v>
      </c>
      <c r="G85" s="22">
        <v>0.02</v>
      </c>
      <c r="H85" s="24">
        <v>0.08</v>
      </c>
      <c r="I85" s="3"/>
    </row>
    <row r="86" spans="1:9" x14ac:dyDescent="0.35">
      <c r="A86" s="22"/>
      <c r="B86" s="22"/>
      <c r="C86" s="22" t="s">
        <v>127</v>
      </c>
      <c r="D86" s="31">
        <f>VLOOKUP(C86,Materialstamm!B:H,7,0)</f>
        <v>101279</v>
      </c>
      <c r="E86" s="23">
        <v>1</v>
      </c>
      <c r="F86" s="22" t="str">
        <f>VLOOKUP(D86,Materialstamm!A:F,6,0)</f>
        <v>ST</v>
      </c>
      <c r="G86" s="22">
        <v>14</v>
      </c>
      <c r="H86" s="24">
        <v>14</v>
      </c>
      <c r="I86" s="3"/>
    </row>
    <row r="87" spans="1:9" x14ac:dyDescent="0.35">
      <c r="A87" s="22"/>
      <c r="B87" s="22"/>
      <c r="C87" s="22" t="s">
        <v>85</v>
      </c>
      <c r="D87" s="31">
        <f>VLOOKUP(C87,Materialstamm!B:H,7,0)</f>
        <v>101233</v>
      </c>
      <c r="E87" s="23">
        <v>1</v>
      </c>
      <c r="F87" s="22" t="str">
        <f>VLOOKUP(D87,Materialstamm!A:F,6,0)</f>
        <v>ST</v>
      </c>
      <c r="G87" s="22">
        <v>23</v>
      </c>
      <c r="H87" s="24">
        <v>23</v>
      </c>
      <c r="I87" s="3"/>
    </row>
    <row r="88" spans="1:9" x14ac:dyDescent="0.35">
      <c r="A88" s="22"/>
      <c r="B88" s="22"/>
      <c r="C88" s="22" t="s">
        <v>16</v>
      </c>
      <c r="D88" s="31">
        <f>VLOOKUP(C88,Materialstamm!B:H,7,0)</f>
        <v>101235</v>
      </c>
      <c r="E88" s="23">
        <v>1</v>
      </c>
      <c r="F88" s="22" t="str">
        <f>VLOOKUP(D88,Materialstamm!A:F,6,0)</f>
        <v>ST</v>
      </c>
      <c r="G88" s="22">
        <v>8</v>
      </c>
      <c r="H88" s="24">
        <v>8</v>
      </c>
      <c r="I88" s="3"/>
    </row>
    <row r="89" spans="1:9" x14ac:dyDescent="0.35">
      <c r="A89" s="22"/>
      <c r="B89" s="22"/>
      <c r="C89" s="22" t="s">
        <v>19</v>
      </c>
      <c r="D89" s="31">
        <f>VLOOKUP(C89,Materialstamm!B:H,7,0)</f>
        <v>101222</v>
      </c>
      <c r="E89" s="23">
        <v>1</v>
      </c>
      <c r="F89" s="22" t="str">
        <f>VLOOKUP(D89,Materialstamm!A:F,6,0)</f>
        <v>ST</v>
      </c>
      <c r="G89" s="22">
        <v>0.3</v>
      </c>
      <c r="H89" s="24">
        <v>0.3</v>
      </c>
      <c r="I89" s="3"/>
    </row>
    <row r="90" spans="1:9" x14ac:dyDescent="0.35">
      <c r="A90" s="22"/>
      <c r="B90" s="22"/>
      <c r="C90" s="22" t="s">
        <v>73</v>
      </c>
      <c r="D90" s="31" t="s">
        <v>70</v>
      </c>
      <c r="E90" s="23">
        <v>0.25</v>
      </c>
      <c r="F90" s="22" t="s">
        <v>76</v>
      </c>
      <c r="G90" s="22">
        <v>28</v>
      </c>
      <c r="H90" s="24">
        <v>7</v>
      </c>
      <c r="I90" s="3"/>
    </row>
    <row r="91" spans="1:9" x14ac:dyDescent="0.35">
      <c r="A91" s="22"/>
      <c r="B91" s="22"/>
      <c r="C91" s="22" t="s">
        <v>73</v>
      </c>
      <c r="D91" s="31" t="s">
        <v>71</v>
      </c>
      <c r="E91" s="23">
        <v>0.8</v>
      </c>
      <c r="F91" s="22" t="s">
        <v>76</v>
      </c>
      <c r="G91" s="22">
        <v>60</v>
      </c>
      <c r="H91" s="24">
        <v>48</v>
      </c>
      <c r="I91" s="3"/>
    </row>
    <row r="92" spans="1:9" x14ac:dyDescent="0.35">
      <c r="G92"/>
      <c r="H92" s="3"/>
      <c r="I92" s="3"/>
    </row>
    <row r="93" spans="1:9" x14ac:dyDescent="0.35">
      <c r="A93" s="25">
        <v>101243</v>
      </c>
      <c r="B93" s="25" t="s">
        <v>103</v>
      </c>
      <c r="C93" s="25"/>
      <c r="D93" s="30"/>
      <c r="E93" s="26"/>
      <c r="F93" s="25"/>
      <c r="G93" s="26"/>
      <c r="H93" s="27">
        <v>363.69499999999994</v>
      </c>
      <c r="I93" s="3"/>
    </row>
    <row r="94" spans="1:9" x14ac:dyDescent="0.35">
      <c r="A94" s="22"/>
      <c r="B94" s="22"/>
      <c r="C94" s="22" t="s">
        <v>36</v>
      </c>
      <c r="D94" s="31">
        <f>VLOOKUP(C94,Materialstamm!B:H,7,0)</f>
        <v>101228</v>
      </c>
      <c r="E94" s="23">
        <v>2</v>
      </c>
      <c r="F94" s="22" t="str">
        <f>VLOOKUP(D94,Materialstamm!A:F,6,0)</f>
        <v>ST</v>
      </c>
      <c r="G94" s="22">
        <v>32.68</v>
      </c>
      <c r="H94" s="24">
        <v>65.36</v>
      </c>
      <c r="I94" s="3"/>
    </row>
    <row r="95" spans="1:9" x14ac:dyDescent="0.35">
      <c r="A95" s="22"/>
      <c r="B95" s="22"/>
      <c r="C95" s="22" t="s">
        <v>54</v>
      </c>
      <c r="D95" s="31">
        <f>VLOOKUP(C95,Materialstamm!B:H,7,0)</f>
        <v>101258</v>
      </c>
      <c r="E95" s="23">
        <v>1</v>
      </c>
      <c r="F95" s="22" t="str">
        <f>VLOOKUP(D95,Materialstamm!A:F,6,0)</f>
        <v>ST</v>
      </c>
      <c r="G95" s="22">
        <v>197.89499999999998</v>
      </c>
      <c r="H95" s="24">
        <v>197.89499999999998</v>
      </c>
      <c r="I95" s="3"/>
    </row>
    <row r="96" spans="1:9" x14ac:dyDescent="0.35">
      <c r="A96" s="22"/>
      <c r="B96" s="22"/>
      <c r="C96" s="22" t="s">
        <v>9</v>
      </c>
      <c r="D96" s="31">
        <f>VLOOKUP(C96,Materialstamm!B:H,7,0)</f>
        <v>101276</v>
      </c>
      <c r="E96" s="23">
        <v>3</v>
      </c>
      <c r="F96" s="22" t="str">
        <f>VLOOKUP(D96,Materialstamm!A:F,6,0)</f>
        <v>ST</v>
      </c>
      <c r="G96" s="22">
        <v>0.01</v>
      </c>
      <c r="H96" s="24">
        <v>0.03</v>
      </c>
      <c r="I96" s="3"/>
    </row>
    <row r="97" spans="1:9" x14ac:dyDescent="0.35">
      <c r="A97" s="22"/>
      <c r="B97" s="22"/>
      <c r="C97" s="22" t="s">
        <v>10</v>
      </c>
      <c r="D97" s="31">
        <f>VLOOKUP(C97,Materialstamm!B:H,7,0)</f>
        <v>101277</v>
      </c>
      <c r="E97" s="23">
        <v>3</v>
      </c>
      <c r="F97" s="22" t="str">
        <f>VLOOKUP(D97,Materialstamm!A:F,6,0)</f>
        <v>ST</v>
      </c>
      <c r="G97" s="22">
        <v>0.01</v>
      </c>
      <c r="H97" s="24">
        <v>0.03</v>
      </c>
      <c r="I97" s="3"/>
    </row>
    <row r="98" spans="1:9" x14ac:dyDescent="0.35">
      <c r="A98" s="22"/>
      <c r="B98" s="22"/>
      <c r="C98" s="22" t="s">
        <v>11</v>
      </c>
      <c r="D98" s="31">
        <f>VLOOKUP(C98,Materialstamm!B:H,7,0)</f>
        <v>101223</v>
      </c>
      <c r="E98" s="23">
        <v>4</v>
      </c>
      <c r="F98" s="22" t="str">
        <f>VLOOKUP(D98,Materialstamm!A:F,6,0)</f>
        <v>ST</v>
      </c>
      <c r="G98" s="22">
        <v>0.02</v>
      </c>
      <c r="H98" s="24">
        <v>0.08</v>
      </c>
      <c r="I98" s="3"/>
    </row>
    <row r="99" spans="1:9" x14ac:dyDescent="0.35">
      <c r="A99" s="22"/>
      <c r="B99" s="22"/>
      <c r="C99" s="22" t="s">
        <v>127</v>
      </c>
      <c r="D99" s="31">
        <f>VLOOKUP(C99,Materialstamm!B:H,7,0)</f>
        <v>101279</v>
      </c>
      <c r="E99" s="23">
        <v>1</v>
      </c>
      <c r="F99" s="22" t="str">
        <f>VLOOKUP(D99,Materialstamm!A:F,6,0)</f>
        <v>ST</v>
      </c>
      <c r="G99" s="22">
        <v>14</v>
      </c>
      <c r="H99" s="24">
        <v>14</v>
      </c>
      <c r="I99" s="3"/>
    </row>
    <row r="100" spans="1:9" x14ac:dyDescent="0.35">
      <c r="A100" s="22"/>
      <c r="B100" s="22"/>
      <c r="C100" s="22" t="s">
        <v>85</v>
      </c>
      <c r="D100" s="31">
        <f>VLOOKUP(C100,Materialstamm!B:H,7,0)</f>
        <v>101233</v>
      </c>
      <c r="E100" s="23">
        <v>1</v>
      </c>
      <c r="F100" s="22" t="str">
        <f>VLOOKUP(D100,Materialstamm!A:F,6,0)</f>
        <v>ST</v>
      </c>
      <c r="G100" s="22">
        <v>23</v>
      </c>
      <c r="H100" s="24">
        <v>23</v>
      </c>
      <c r="I100" s="3"/>
    </row>
    <row r="101" spans="1:9" x14ac:dyDescent="0.35">
      <c r="A101" s="22"/>
      <c r="B101" s="22"/>
      <c r="C101" s="22" t="s">
        <v>16</v>
      </c>
      <c r="D101" s="31">
        <f>VLOOKUP(C101,Materialstamm!B:H,7,0)</f>
        <v>101235</v>
      </c>
      <c r="E101" s="23">
        <v>1</v>
      </c>
      <c r="F101" s="22" t="str">
        <f>VLOOKUP(D101,Materialstamm!A:F,6,0)</f>
        <v>ST</v>
      </c>
      <c r="G101" s="22">
        <v>8</v>
      </c>
      <c r="H101" s="24">
        <v>8</v>
      </c>
      <c r="I101" s="3"/>
    </row>
    <row r="102" spans="1:9" x14ac:dyDescent="0.35">
      <c r="A102" s="22"/>
      <c r="B102" s="22"/>
      <c r="C102" s="22" t="s">
        <v>19</v>
      </c>
      <c r="D102" s="31">
        <f>VLOOKUP(C102,Materialstamm!B:H,7,0)</f>
        <v>101222</v>
      </c>
      <c r="E102" s="23">
        <v>1</v>
      </c>
      <c r="F102" s="22" t="str">
        <f>VLOOKUP(D102,Materialstamm!A:F,6,0)</f>
        <v>ST</v>
      </c>
      <c r="G102" s="22">
        <v>0.3</v>
      </c>
      <c r="H102" s="24">
        <v>0.3</v>
      </c>
      <c r="I102" s="3"/>
    </row>
    <row r="103" spans="1:9" x14ac:dyDescent="0.35">
      <c r="A103" s="22"/>
      <c r="B103" s="22"/>
      <c r="C103" s="22" t="s">
        <v>73</v>
      </c>
      <c r="D103" s="31" t="s">
        <v>70</v>
      </c>
      <c r="E103" s="23">
        <v>0.25</v>
      </c>
      <c r="F103" s="22" t="s">
        <v>76</v>
      </c>
      <c r="G103" s="22">
        <v>28</v>
      </c>
      <c r="H103" s="24">
        <v>7</v>
      </c>
      <c r="I103" s="3"/>
    </row>
    <row r="104" spans="1:9" x14ac:dyDescent="0.35">
      <c r="A104" s="22"/>
      <c r="B104" s="22"/>
      <c r="C104" s="22" t="s">
        <v>73</v>
      </c>
      <c r="D104" s="31" t="s">
        <v>71</v>
      </c>
      <c r="E104" s="23">
        <v>0.8</v>
      </c>
      <c r="F104" s="22" t="s">
        <v>76</v>
      </c>
      <c r="G104" s="22">
        <v>60</v>
      </c>
      <c r="H104" s="24">
        <v>48</v>
      </c>
      <c r="I104" s="3"/>
    </row>
    <row r="105" spans="1:9" x14ac:dyDescent="0.35">
      <c r="A105" s="1"/>
      <c r="H105" s="3"/>
      <c r="I105" s="3"/>
    </row>
    <row r="106" spans="1:9" x14ac:dyDescent="0.35">
      <c r="A106" s="25">
        <v>101244</v>
      </c>
      <c r="B106" s="25" t="s">
        <v>104</v>
      </c>
      <c r="C106" s="25"/>
      <c r="D106" s="30"/>
      <c r="E106" s="26"/>
      <c r="F106" s="25"/>
      <c r="G106" s="26"/>
      <c r="H106" s="27">
        <v>366.55999999999995</v>
      </c>
      <c r="I106" s="3"/>
    </row>
    <row r="107" spans="1:9" x14ac:dyDescent="0.35">
      <c r="A107" s="22"/>
      <c r="B107" s="22"/>
      <c r="C107" s="22" t="s">
        <v>31</v>
      </c>
      <c r="D107" s="31">
        <f>VLOOKUP(C107,Materialstamm!B:H,7,0)</f>
        <v>101229</v>
      </c>
      <c r="E107" s="23">
        <v>2</v>
      </c>
      <c r="F107" s="22" t="str">
        <f>VLOOKUP(D107,Materialstamm!A:F,6,0)</f>
        <v>ST</v>
      </c>
      <c r="G107" s="22">
        <v>33.24</v>
      </c>
      <c r="H107" s="24">
        <v>66.48</v>
      </c>
      <c r="I107" s="3"/>
    </row>
    <row r="108" spans="1:9" x14ac:dyDescent="0.35">
      <c r="A108" s="22"/>
      <c r="B108" s="22"/>
      <c r="C108" s="22" t="s">
        <v>53</v>
      </c>
      <c r="D108" s="31">
        <f>VLOOKUP(C108,Materialstamm!B:H,7,0)</f>
        <v>101259</v>
      </c>
      <c r="E108" s="23">
        <v>1</v>
      </c>
      <c r="F108" s="22" t="str">
        <f>VLOOKUP(D108,Materialstamm!A:F,6,0)</f>
        <v>ST</v>
      </c>
      <c r="G108" s="22">
        <v>199.64</v>
      </c>
      <c r="H108" s="24">
        <v>199.64</v>
      </c>
      <c r="I108" s="3"/>
    </row>
    <row r="109" spans="1:9" x14ac:dyDescent="0.35">
      <c r="A109" s="22"/>
      <c r="B109" s="22"/>
      <c r="C109" s="22" t="s">
        <v>9</v>
      </c>
      <c r="D109" s="31">
        <f>VLOOKUP(C109,Materialstamm!B:H,7,0)</f>
        <v>101276</v>
      </c>
      <c r="E109" s="23">
        <v>3</v>
      </c>
      <c r="F109" s="22" t="str">
        <f>VLOOKUP(D109,Materialstamm!A:F,6,0)</f>
        <v>ST</v>
      </c>
      <c r="G109" s="22">
        <v>0.01</v>
      </c>
      <c r="H109" s="24">
        <v>0.03</v>
      </c>
      <c r="I109" s="3"/>
    </row>
    <row r="110" spans="1:9" x14ac:dyDescent="0.35">
      <c r="A110" s="22"/>
      <c r="B110" s="22"/>
      <c r="C110" s="22" t="s">
        <v>10</v>
      </c>
      <c r="D110" s="31">
        <f>VLOOKUP(C110,Materialstamm!B:H,7,0)</f>
        <v>101277</v>
      </c>
      <c r="E110" s="23">
        <v>3</v>
      </c>
      <c r="F110" s="22" t="str">
        <f>VLOOKUP(D110,Materialstamm!A:F,6,0)</f>
        <v>ST</v>
      </c>
      <c r="G110" s="22">
        <v>0.01</v>
      </c>
      <c r="H110" s="24">
        <v>0.03</v>
      </c>
      <c r="I110" s="3"/>
    </row>
    <row r="111" spans="1:9" x14ac:dyDescent="0.35">
      <c r="A111" s="22"/>
      <c r="B111" s="22"/>
      <c r="C111" s="22" t="s">
        <v>11</v>
      </c>
      <c r="D111" s="31">
        <f>VLOOKUP(C111,Materialstamm!B:H,7,0)</f>
        <v>101223</v>
      </c>
      <c r="E111" s="23">
        <v>4</v>
      </c>
      <c r="F111" s="22" t="str">
        <f>VLOOKUP(D111,Materialstamm!A:F,6,0)</f>
        <v>ST</v>
      </c>
      <c r="G111" s="22">
        <v>0.02</v>
      </c>
      <c r="H111" s="24">
        <v>0.08</v>
      </c>
      <c r="I111" s="3"/>
    </row>
    <row r="112" spans="1:9" x14ac:dyDescent="0.35">
      <c r="A112" s="22"/>
      <c r="B112" s="22"/>
      <c r="C112" s="22" t="s">
        <v>127</v>
      </c>
      <c r="D112" s="31">
        <f>VLOOKUP(C112,Materialstamm!B:H,7,0)</f>
        <v>101279</v>
      </c>
      <c r="E112" s="23">
        <v>1</v>
      </c>
      <c r="F112" s="22" t="str">
        <f>VLOOKUP(D112,Materialstamm!A:F,6,0)</f>
        <v>ST</v>
      </c>
      <c r="G112" s="22">
        <v>14</v>
      </c>
      <c r="H112" s="24">
        <v>14</v>
      </c>
      <c r="I112" s="3"/>
    </row>
    <row r="113" spans="1:9" x14ac:dyDescent="0.35">
      <c r="A113" s="22"/>
      <c r="B113" s="22"/>
      <c r="C113" s="22" t="s">
        <v>85</v>
      </c>
      <c r="D113" s="31">
        <f>VLOOKUP(C113,Materialstamm!B:H,7,0)</f>
        <v>101233</v>
      </c>
      <c r="E113" s="23">
        <v>1</v>
      </c>
      <c r="F113" s="22" t="str">
        <f>VLOOKUP(D113,Materialstamm!A:F,6,0)</f>
        <v>ST</v>
      </c>
      <c r="G113" s="22">
        <v>23</v>
      </c>
      <c r="H113" s="24">
        <v>23</v>
      </c>
      <c r="I113" s="3"/>
    </row>
    <row r="114" spans="1:9" x14ac:dyDescent="0.35">
      <c r="A114" s="22"/>
      <c r="B114" s="22"/>
      <c r="C114" s="22" t="s">
        <v>16</v>
      </c>
      <c r="D114" s="31">
        <f>VLOOKUP(C114,Materialstamm!B:H,7,0)</f>
        <v>101235</v>
      </c>
      <c r="E114" s="23">
        <v>1</v>
      </c>
      <c r="F114" s="22" t="str">
        <f>VLOOKUP(D114,Materialstamm!A:F,6,0)</f>
        <v>ST</v>
      </c>
      <c r="G114" s="22">
        <v>8</v>
      </c>
      <c r="H114" s="24">
        <v>8</v>
      </c>
      <c r="I114" s="3"/>
    </row>
    <row r="115" spans="1:9" x14ac:dyDescent="0.35">
      <c r="A115" s="22"/>
      <c r="B115" s="22"/>
      <c r="C115" s="22" t="s">
        <v>19</v>
      </c>
      <c r="D115" s="31">
        <f>VLOOKUP(C115,Materialstamm!B:H,7,0)</f>
        <v>101222</v>
      </c>
      <c r="E115" s="23">
        <v>1</v>
      </c>
      <c r="F115" s="22" t="str">
        <f>VLOOKUP(D115,Materialstamm!A:F,6,0)</f>
        <v>ST</v>
      </c>
      <c r="G115" s="22">
        <v>0.3</v>
      </c>
      <c r="H115" s="24">
        <v>0.3</v>
      </c>
      <c r="I115" s="3"/>
    </row>
    <row r="116" spans="1:9" x14ac:dyDescent="0.35">
      <c r="A116" s="22"/>
      <c r="B116" s="22"/>
      <c r="C116" s="22" t="s">
        <v>73</v>
      </c>
      <c r="D116" s="31" t="s">
        <v>70</v>
      </c>
      <c r="E116" s="23">
        <v>0.25</v>
      </c>
      <c r="F116" s="22" t="s">
        <v>76</v>
      </c>
      <c r="G116" s="22">
        <v>28</v>
      </c>
      <c r="H116" s="24">
        <v>7</v>
      </c>
      <c r="I116" s="3"/>
    </row>
    <row r="117" spans="1:9" x14ac:dyDescent="0.35">
      <c r="A117" s="22"/>
      <c r="B117" s="22"/>
      <c r="C117" s="22" t="s">
        <v>73</v>
      </c>
      <c r="D117" s="31" t="s">
        <v>71</v>
      </c>
      <c r="E117" s="23">
        <v>0.8</v>
      </c>
      <c r="F117" s="22" t="s">
        <v>76</v>
      </c>
      <c r="G117" s="22">
        <v>60</v>
      </c>
      <c r="H117" s="24">
        <v>48</v>
      </c>
      <c r="I117" s="3"/>
    </row>
    <row r="118" spans="1:9" x14ac:dyDescent="0.35">
      <c r="G118"/>
      <c r="H118" s="3"/>
      <c r="I118" s="3"/>
    </row>
    <row r="119" spans="1:9" x14ac:dyDescent="0.35">
      <c r="A119" s="25">
        <v>101245</v>
      </c>
      <c r="B119" s="25" t="s">
        <v>105</v>
      </c>
      <c r="C119" s="25"/>
      <c r="D119" s="30"/>
      <c r="E119" s="26"/>
      <c r="F119" s="25"/>
      <c r="G119" s="26"/>
      <c r="H119" s="27">
        <v>374.25999999999993</v>
      </c>
      <c r="I119" s="3"/>
    </row>
    <row r="120" spans="1:9" x14ac:dyDescent="0.35">
      <c r="A120" s="22"/>
      <c r="B120" s="22"/>
      <c r="C120" s="22" t="s">
        <v>41</v>
      </c>
      <c r="D120" s="31">
        <f>VLOOKUP(C120,Materialstamm!B:H,7,0)</f>
        <v>101230</v>
      </c>
      <c r="E120" s="23">
        <v>2</v>
      </c>
      <c r="F120" s="22" t="str">
        <f>VLOOKUP(D120,Materialstamm!A:F,6,0)</f>
        <v>ST</v>
      </c>
      <c r="G120" s="22">
        <v>34.1</v>
      </c>
      <c r="H120" s="24">
        <v>68.2</v>
      </c>
      <c r="I120" s="3"/>
    </row>
    <row r="121" spans="1:9" x14ac:dyDescent="0.35">
      <c r="A121" s="22"/>
      <c r="B121" s="22"/>
      <c r="C121" s="22" t="s">
        <v>55</v>
      </c>
      <c r="D121" s="31">
        <f>VLOOKUP(C121,Materialstamm!B:H,7,0)</f>
        <v>101260</v>
      </c>
      <c r="E121" s="23">
        <v>1</v>
      </c>
      <c r="F121" s="22" t="str">
        <f>VLOOKUP(D121,Materialstamm!A:F,6,0)</f>
        <v>ST</v>
      </c>
      <c r="G121" s="22">
        <v>205.62</v>
      </c>
      <c r="H121" s="24">
        <v>205.62</v>
      </c>
      <c r="I121" s="3"/>
    </row>
    <row r="122" spans="1:9" x14ac:dyDescent="0.35">
      <c r="A122" s="22"/>
      <c r="B122" s="22"/>
      <c r="C122" s="22" t="s">
        <v>9</v>
      </c>
      <c r="D122" s="31">
        <f>VLOOKUP(C122,Materialstamm!B:H,7,0)</f>
        <v>101276</v>
      </c>
      <c r="E122" s="23">
        <v>3</v>
      </c>
      <c r="F122" s="22" t="str">
        <f>VLOOKUP(D122,Materialstamm!A:F,6,0)</f>
        <v>ST</v>
      </c>
      <c r="G122" s="22">
        <v>0.01</v>
      </c>
      <c r="H122" s="24">
        <v>0.03</v>
      </c>
      <c r="I122" s="3"/>
    </row>
    <row r="123" spans="1:9" x14ac:dyDescent="0.35">
      <c r="A123" s="22"/>
      <c r="B123" s="22"/>
      <c r="C123" s="22" t="s">
        <v>10</v>
      </c>
      <c r="D123" s="31">
        <f>VLOOKUP(C123,Materialstamm!B:H,7,0)</f>
        <v>101277</v>
      </c>
      <c r="E123" s="23">
        <v>3</v>
      </c>
      <c r="F123" s="22" t="str">
        <f>VLOOKUP(D123,Materialstamm!A:F,6,0)</f>
        <v>ST</v>
      </c>
      <c r="G123" s="22">
        <v>0.01</v>
      </c>
      <c r="H123" s="24">
        <v>0.03</v>
      </c>
      <c r="I123" s="3"/>
    </row>
    <row r="124" spans="1:9" x14ac:dyDescent="0.35">
      <c r="A124" s="22"/>
      <c r="B124" s="22"/>
      <c r="C124" s="22" t="s">
        <v>11</v>
      </c>
      <c r="D124" s="31">
        <f>VLOOKUP(C124,Materialstamm!B:H,7,0)</f>
        <v>101223</v>
      </c>
      <c r="E124" s="23">
        <v>4</v>
      </c>
      <c r="F124" s="22" t="str">
        <f>VLOOKUP(D124,Materialstamm!A:F,6,0)</f>
        <v>ST</v>
      </c>
      <c r="G124" s="22">
        <v>0.02</v>
      </c>
      <c r="H124" s="24">
        <v>0.08</v>
      </c>
      <c r="I124" s="3"/>
    </row>
    <row r="125" spans="1:9" x14ac:dyDescent="0.35">
      <c r="A125" s="22"/>
      <c r="B125" s="22"/>
      <c r="C125" s="22" t="s">
        <v>127</v>
      </c>
      <c r="D125" s="31">
        <f>VLOOKUP(C125,Materialstamm!B:H,7,0)</f>
        <v>101279</v>
      </c>
      <c r="E125" s="23">
        <v>1</v>
      </c>
      <c r="F125" s="22" t="str">
        <f>VLOOKUP(D125,Materialstamm!A:F,6,0)</f>
        <v>ST</v>
      </c>
      <c r="G125" s="22">
        <v>14</v>
      </c>
      <c r="H125" s="24">
        <v>14</v>
      </c>
      <c r="I125" s="3"/>
    </row>
    <row r="126" spans="1:9" x14ac:dyDescent="0.35">
      <c r="A126" s="22"/>
      <c r="B126" s="22"/>
      <c r="C126" s="22" t="s">
        <v>85</v>
      </c>
      <c r="D126" s="31">
        <f>VLOOKUP(C126,Materialstamm!B:H,7,0)</f>
        <v>101233</v>
      </c>
      <c r="E126" s="23">
        <v>1</v>
      </c>
      <c r="F126" s="22" t="str">
        <f>VLOOKUP(D126,Materialstamm!A:F,6,0)</f>
        <v>ST</v>
      </c>
      <c r="G126" s="22">
        <v>23</v>
      </c>
      <c r="H126" s="24">
        <v>23</v>
      </c>
      <c r="I126" s="3"/>
    </row>
    <row r="127" spans="1:9" x14ac:dyDescent="0.35">
      <c r="A127" s="22"/>
      <c r="B127" s="22"/>
      <c r="C127" s="22" t="s">
        <v>16</v>
      </c>
      <c r="D127" s="31">
        <f>VLOOKUP(C127,Materialstamm!B:H,7,0)</f>
        <v>101235</v>
      </c>
      <c r="E127" s="23">
        <v>1</v>
      </c>
      <c r="F127" s="22" t="str">
        <f>VLOOKUP(D127,Materialstamm!A:F,6,0)</f>
        <v>ST</v>
      </c>
      <c r="G127" s="22">
        <v>8</v>
      </c>
      <c r="H127" s="24">
        <v>8</v>
      </c>
      <c r="I127" s="3"/>
    </row>
    <row r="128" spans="1:9" x14ac:dyDescent="0.35">
      <c r="A128" s="22"/>
      <c r="B128" s="22"/>
      <c r="C128" s="22" t="s">
        <v>19</v>
      </c>
      <c r="D128" s="31">
        <f>VLOOKUP(C128,Materialstamm!B:H,7,0)</f>
        <v>101222</v>
      </c>
      <c r="E128" s="23">
        <v>1</v>
      </c>
      <c r="F128" s="22" t="str">
        <f>VLOOKUP(D128,Materialstamm!A:F,6,0)</f>
        <v>ST</v>
      </c>
      <c r="G128" s="22">
        <v>0.3</v>
      </c>
      <c r="H128" s="24">
        <v>0.3</v>
      </c>
      <c r="I128" s="3"/>
    </row>
    <row r="129" spans="1:9" x14ac:dyDescent="0.35">
      <c r="A129" s="22"/>
      <c r="B129" s="22"/>
      <c r="C129" s="22" t="s">
        <v>73</v>
      </c>
      <c r="D129" s="31" t="s">
        <v>70</v>
      </c>
      <c r="E129" s="23">
        <v>0.25</v>
      </c>
      <c r="F129" s="22" t="s">
        <v>76</v>
      </c>
      <c r="G129" s="22">
        <v>28</v>
      </c>
      <c r="H129" s="24">
        <v>7</v>
      </c>
      <c r="I129" s="3"/>
    </row>
    <row r="130" spans="1:9" x14ac:dyDescent="0.35">
      <c r="A130" s="22"/>
      <c r="B130" s="22"/>
      <c r="C130" s="22" t="s">
        <v>73</v>
      </c>
      <c r="D130" s="31" t="s">
        <v>71</v>
      </c>
      <c r="E130" s="23">
        <v>0.8</v>
      </c>
      <c r="F130" s="22" t="s">
        <v>76</v>
      </c>
      <c r="G130" s="22">
        <v>60</v>
      </c>
      <c r="H130" s="24">
        <v>48</v>
      </c>
      <c r="I130" s="3"/>
    </row>
    <row r="132" spans="1:9" x14ac:dyDescent="0.35">
      <c r="A132" s="25">
        <v>101246</v>
      </c>
      <c r="B132" s="25" t="s">
        <v>106</v>
      </c>
      <c r="C132" s="25"/>
      <c r="D132" s="30"/>
      <c r="E132" s="26"/>
      <c r="F132" s="25"/>
      <c r="G132" s="26"/>
      <c r="H132" s="27">
        <v>405.00999999999993</v>
      </c>
      <c r="I132" s="3"/>
    </row>
    <row r="133" spans="1:9" x14ac:dyDescent="0.35">
      <c r="A133" s="22"/>
      <c r="B133" s="22"/>
      <c r="C133" s="22" t="s">
        <v>4</v>
      </c>
      <c r="D133" s="31">
        <f>VLOOKUP(C133,Materialstamm!B:H,7,0)</f>
        <v>101226</v>
      </c>
      <c r="E133" s="23">
        <v>2</v>
      </c>
      <c r="F133" s="22" t="str">
        <f>VLOOKUP(D133,Materialstamm!A:F,6,0)</f>
        <v>ST</v>
      </c>
      <c r="G133" s="22">
        <v>30.1</v>
      </c>
      <c r="H133" s="24">
        <v>60.2</v>
      </c>
      <c r="I133" s="3"/>
    </row>
    <row r="134" spans="1:9" x14ac:dyDescent="0.35">
      <c r="A134" s="22"/>
      <c r="B134" s="22"/>
      <c r="C134" s="22" t="s">
        <v>56</v>
      </c>
      <c r="D134" s="31">
        <f>VLOOKUP(C134,Materialstamm!B:H,7,0)</f>
        <v>101261</v>
      </c>
      <c r="E134" s="23">
        <v>1</v>
      </c>
      <c r="F134" s="22" t="str">
        <f>VLOOKUP(D134,Materialstamm!A:F,6,0)</f>
        <v>ST</v>
      </c>
      <c r="G134" s="22">
        <v>201.37</v>
      </c>
      <c r="H134" s="24">
        <v>201.37</v>
      </c>
      <c r="I134" s="3"/>
    </row>
    <row r="135" spans="1:9" x14ac:dyDescent="0.35">
      <c r="A135" s="22"/>
      <c r="B135" s="22"/>
      <c r="C135" s="22" t="s">
        <v>9</v>
      </c>
      <c r="D135" s="31">
        <f>VLOOKUP(C135,Materialstamm!B:H,7,0)</f>
        <v>101276</v>
      </c>
      <c r="E135" s="23">
        <v>3</v>
      </c>
      <c r="F135" s="22" t="str">
        <f>VLOOKUP(D135,Materialstamm!A:F,6,0)</f>
        <v>ST</v>
      </c>
      <c r="G135" s="22">
        <v>0.01</v>
      </c>
      <c r="H135" s="24">
        <v>0.03</v>
      </c>
      <c r="I135" s="3"/>
    </row>
    <row r="136" spans="1:9" x14ac:dyDescent="0.35">
      <c r="A136" s="22"/>
      <c r="B136" s="22"/>
      <c r="C136" s="22" t="s">
        <v>10</v>
      </c>
      <c r="D136" s="31">
        <f>VLOOKUP(C136,Materialstamm!B:H,7,0)</f>
        <v>101277</v>
      </c>
      <c r="E136" s="23">
        <v>3</v>
      </c>
      <c r="F136" s="22" t="str">
        <f>VLOOKUP(D136,Materialstamm!A:F,6,0)</f>
        <v>ST</v>
      </c>
      <c r="G136" s="22">
        <v>0.01</v>
      </c>
      <c r="H136" s="24">
        <v>0.03</v>
      </c>
      <c r="I136" s="3"/>
    </row>
    <row r="137" spans="1:9" x14ac:dyDescent="0.35">
      <c r="A137" s="22"/>
      <c r="B137" s="22"/>
      <c r="C137" s="22" t="s">
        <v>11</v>
      </c>
      <c r="D137" s="31">
        <f>VLOOKUP(C137,Materialstamm!B:H,7,0)</f>
        <v>101223</v>
      </c>
      <c r="E137" s="23">
        <v>4</v>
      </c>
      <c r="F137" s="22" t="str">
        <f>VLOOKUP(D137,Materialstamm!A:F,6,0)</f>
        <v>ST</v>
      </c>
      <c r="G137" s="22">
        <v>0.02</v>
      </c>
      <c r="H137" s="24">
        <v>0.08</v>
      </c>
      <c r="I137" s="3"/>
    </row>
    <row r="138" spans="1:9" x14ac:dyDescent="0.35">
      <c r="A138" s="22"/>
      <c r="B138" s="22"/>
      <c r="C138" s="22" t="s">
        <v>50</v>
      </c>
      <c r="D138" s="31">
        <f>VLOOKUP(C138,Materialstamm!B:H,7,0)</f>
        <v>101280</v>
      </c>
      <c r="E138" s="23">
        <v>1</v>
      </c>
      <c r="F138" s="22" t="str">
        <f>VLOOKUP(D138,Materialstamm!A:F,6,0)</f>
        <v>ST</v>
      </c>
      <c r="G138" s="22">
        <v>31</v>
      </c>
      <c r="H138" s="24">
        <v>31</v>
      </c>
      <c r="I138" s="3"/>
    </row>
    <row r="139" spans="1:9" x14ac:dyDescent="0.35">
      <c r="A139" s="22"/>
      <c r="B139" s="22"/>
      <c r="C139" s="22" t="s">
        <v>86</v>
      </c>
      <c r="D139" s="31">
        <f>VLOOKUP(C139,Materialstamm!B:H,7,0)</f>
        <v>101234</v>
      </c>
      <c r="E139" s="23">
        <v>1</v>
      </c>
      <c r="F139" s="22" t="str">
        <f>VLOOKUP(D139,Materialstamm!A:F,6,0)</f>
        <v>ST</v>
      </c>
      <c r="G139" s="22">
        <v>49</v>
      </c>
      <c r="H139" s="24">
        <v>49</v>
      </c>
      <c r="I139" s="3"/>
    </row>
    <row r="140" spans="1:9" x14ac:dyDescent="0.35">
      <c r="A140" s="22"/>
      <c r="B140" s="22"/>
      <c r="C140" s="22" t="s">
        <v>16</v>
      </c>
      <c r="D140" s="31">
        <f>VLOOKUP(C140,Materialstamm!B:H,7,0)</f>
        <v>101235</v>
      </c>
      <c r="E140" s="23">
        <v>1</v>
      </c>
      <c r="F140" s="22" t="str">
        <f>VLOOKUP(D140,Materialstamm!A:F,6,0)</f>
        <v>ST</v>
      </c>
      <c r="G140" s="22">
        <v>8</v>
      </c>
      <c r="H140" s="24">
        <v>8</v>
      </c>
      <c r="I140" s="3"/>
    </row>
    <row r="141" spans="1:9" x14ac:dyDescent="0.35">
      <c r="A141" s="22"/>
      <c r="B141" s="22"/>
      <c r="C141" s="22" t="s">
        <v>19</v>
      </c>
      <c r="D141" s="31">
        <f>VLOOKUP(C141,Materialstamm!B:H,7,0)</f>
        <v>101222</v>
      </c>
      <c r="E141" s="23">
        <v>1</v>
      </c>
      <c r="F141" s="22" t="str">
        <f>VLOOKUP(D141,Materialstamm!A:F,6,0)</f>
        <v>ST</v>
      </c>
      <c r="G141" s="22">
        <v>0.3</v>
      </c>
      <c r="H141" s="24">
        <v>0.3</v>
      </c>
      <c r="I141" s="3"/>
    </row>
    <row r="142" spans="1:9" x14ac:dyDescent="0.35">
      <c r="A142" s="22"/>
      <c r="B142" s="22"/>
      <c r="C142" s="22" t="s">
        <v>73</v>
      </c>
      <c r="D142" s="31" t="s">
        <v>70</v>
      </c>
      <c r="E142" s="23">
        <v>0.25</v>
      </c>
      <c r="F142" s="22" t="s">
        <v>76</v>
      </c>
      <c r="G142" s="22">
        <v>28</v>
      </c>
      <c r="H142" s="24">
        <v>7</v>
      </c>
      <c r="I142" s="3"/>
    </row>
    <row r="143" spans="1:9" x14ac:dyDescent="0.35">
      <c r="A143" s="22"/>
      <c r="B143" s="22"/>
      <c r="C143" s="22" t="s">
        <v>73</v>
      </c>
      <c r="D143" s="31" t="s">
        <v>71</v>
      </c>
      <c r="E143" s="23">
        <v>0.8</v>
      </c>
      <c r="F143" s="22" t="s">
        <v>76</v>
      </c>
      <c r="G143" s="22">
        <v>60</v>
      </c>
      <c r="H143" s="24">
        <v>48</v>
      </c>
      <c r="I143" s="3"/>
    </row>
    <row r="145" spans="1:9" x14ac:dyDescent="0.35">
      <c r="A145" s="25">
        <v>101247</v>
      </c>
      <c r="B145" s="25" t="s">
        <v>107</v>
      </c>
      <c r="C145" s="25"/>
      <c r="D145" s="30"/>
      <c r="E145" s="26"/>
      <c r="F145" s="25"/>
      <c r="G145" s="26"/>
      <c r="H145" s="27">
        <v>415.42999999999995</v>
      </c>
      <c r="I145" s="3"/>
    </row>
    <row r="146" spans="1:9" x14ac:dyDescent="0.35">
      <c r="A146" s="22"/>
      <c r="B146" s="22"/>
      <c r="C146" s="22" t="s">
        <v>25</v>
      </c>
      <c r="D146" s="31">
        <f>VLOOKUP(C146,Materialstamm!B:H,7,0)</f>
        <v>101227</v>
      </c>
      <c r="E146" s="23">
        <v>2</v>
      </c>
      <c r="F146" s="22" t="str">
        <f>VLOOKUP(D146,Materialstamm!A:F,6,0)</f>
        <v>ST</v>
      </c>
      <c r="G146" s="22">
        <v>31.62</v>
      </c>
      <c r="H146" s="24">
        <v>63.24</v>
      </c>
      <c r="I146" s="3"/>
    </row>
    <row r="147" spans="1:9" x14ac:dyDescent="0.35">
      <c r="A147" s="22"/>
      <c r="B147" s="22"/>
      <c r="C147" s="22" t="s">
        <v>57</v>
      </c>
      <c r="D147" s="31">
        <f>VLOOKUP(C147,Materialstamm!B:H,7,0)</f>
        <v>101262</v>
      </c>
      <c r="E147" s="23">
        <v>1</v>
      </c>
      <c r="F147" s="22" t="str">
        <f>VLOOKUP(D147,Materialstamm!A:F,6,0)</f>
        <v>ST</v>
      </c>
      <c r="G147" s="22">
        <v>208.75</v>
      </c>
      <c r="H147" s="24">
        <v>208.75</v>
      </c>
      <c r="I147" s="3"/>
    </row>
    <row r="148" spans="1:9" x14ac:dyDescent="0.35">
      <c r="A148" s="22"/>
      <c r="B148" s="22"/>
      <c r="C148" s="22" t="s">
        <v>9</v>
      </c>
      <c r="D148" s="31">
        <f>VLOOKUP(C148,Materialstamm!B:H,7,0)</f>
        <v>101276</v>
      </c>
      <c r="E148" s="23">
        <v>3</v>
      </c>
      <c r="F148" s="22" t="str">
        <f>VLOOKUP(D148,Materialstamm!A:F,6,0)</f>
        <v>ST</v>
      </c>
      <c r="G148" s="22">
        <v>0.01</v>
      </c>
      <c r="H148" s="24">
        <v>0.03</v>
      </c>
      <c r="I148" s="3"/>
    </row>
    <row r="149" spans="1:9" x14ac:dyDescent="0.35">
      <c r="A149" s="22"/>
      <c r="B149" s="22"/>
      <c r="C149" s="22" t="s">
        <v>10</v>
      </c>
      <c r="D149" s="31">
        <f>VLOOKUP(C149,Materialstamm!B:H,7,0)</f>
        <v>101277</v>
      </c>
      <c r="E149" s="23">
        <v>3</v>
      </c>
      <c r="F149" s="22" t="str">
        <f>VLOOKUP(D149,Materialstamm!A:F,6,0)</f>
        <v>ST</v>
      </c>
      <c r="G149" s="22">
        <v>0.01</v>
      </c>
      <c r="H149" s="24">
        <v>0.03</v>
      </c>
      <c r="I149" s="3"/>
    </row>
    <row r="150" spans="1:9" x14ac:dyDescent="0.35">
      <c r="A150" s="22"/>
      <c r="B150" s="22"/>
      <c r="C150" s="22" t="s">
        <v>11</v>
      </c>
      <c r="D150" s="31">
        <f>VLOOKUP(C150,Materialstamm!B:H,7,0)</f>
        <v>101223</v>
      </c>
      <c r="E150" s="23">
        <v>4</v>
      </c>
      <c r="F150" s="22" t="str">
        <f>VLOOKUP(D150,Materialstamm!A:F,6,0)</f>
        <v>ST</v>
      </c>
      <c r="G150" s="22">
        <v>0.02</v>
      </c>
      <c r="H150" s="24">
        <v>0.08</v>
      </c>
      <c r="I150" s="3"/>
    </row>
    <row r="151" spans="1:9" x14ac:dyDescent="0.35">
      <c r="A151" s="22"/>
      <c r="B151" s="22"/>
      <c r="C151" s="22" t="s">
        <v>50</v>
      </c>
      <c r="D151" s="31">
        <f>VLOOKUP(C151,Materialstamm!B:H,7,0)</f>
        <v>101280</v>
      </c>
      <c r="E151" s="23">
        <v>1</v>
      </c>
      <c r="F151" s="22" t="str">
        <f>VLOOKUP(D151,Materialstamm!A:F,6,0)</f>
        <v>ST</v>
      </c>
      <c r="G151" s="22">
        <v>31</v>
      </c>
      <c r="H151" s="24">
        <v>31</v>
      </c>
      <c r="I151" s="3"/>
    </row>
    <row r="152" spans="1:9" x14ac:dyDescent="0.35">
      <c r="A152" s="22"/>
      <c r="B152" s="22"/>
      <c r="C152" s="22" t="s">
        <v>86</v>
      </c>
      <c r="D152" s="31">
        <f>VLOOKUP(C152,Materialstamm!B:H,7,0)</f>
        <v>101234</v>
      </c>
      <c r="E152" s="23">
        <v>1</v>
      </c>
      <c r="F152" s="22" t="str">
        <f>VLOOKUP(D152,Materialstamm!A:F,6,0)</f>
        <v>ST</v>
      </c>
      <c r="G152" s="22">
        <v>49</v>
      </c>
      <c r="H152" s="24">
        <v>49</v>
      </c>
      <c r="I152" s="3"/>
    </row>
    <row r="153" spans="1:9" x14ac:dyDescent="0.35">
      <c r="A153" s="22"/>
      <c r="B153" s="22"/>
      <c r="C153" s="22" t="s">
        <v>16</v>
      </c>
      <c r="D153" s="31">
        <f>VLOOKUP(C153,Materialstamm!B:H,7,0)</f>
        <v>101235</v>
      </c>
      <c r="E153" s="23">
        <v>1</v>
      </c>
      <c r="F153" s="22" t="str">
        <f>VLOOKUP(D153,Materialstamm!A:F,6,0)</f>
        <v>ST</v>
      </c>
      <c r="G153" s="22">
        <v>8</v>
      </c>
      <c r="H153" s="24">
        <v>8</v>
      </c>
      <c r="I153" s="3"/>
    </row>
    <row r="154" spans="1:9" x14ac:dyDescent="0.35">
      <c r="A154" s="22"/>
      <c r="B154" s="22"/>
      <c r="C154" s="22" t="s">
        <v>19</v>
      </c>
      <c r="D154" s="31">
        <f>VLOOKUP(C154,Materialstamm!B:H,7,0)</f>
        <v>101222</v>
      </c>
      <c r="E154" s="23">
        <v>1</v>
      </c>
      <c r="F154" s="22" t="str">
        <f>VLOOKUP(D154,Materialstamm!A:F,6,0)</f>
        <v>ST</v>
      </c>
      <c r="G154" s="22">
        <v>0.3</v>
      </c>
      <c r="H154" s="24">
        <v>0.3</v>
      </c>
      <c r="I154" s="3"/>
    </row>
    <row r="155" spans="1:9" x14ac:dyDescent="0.35">
      <c r="A155" s="22"/>
      <c r="B155" s="22"/>
      <c r="C155" s="22" t="s">
        <v>73</v>
      </c>
      <c r="D155" s="31" t="s">
        <v>70</v>
      </c>
      <c r="E155" s="23">
        <v>0.25</v>
      </c>
      <c r="F155" s="22" t="s">
        <v>76</v>
      </c>
      <c r="G155" s="22">
        <v>28</v>
      </c>
      <c r="H155" s="24">
        <v>7</v>
      </c>
      <c r="I155" s="3"/>
    </row>
    <row r="156" spans="1:9" x14ac:dyDescent="0.35">
      <c r="A156" s="22"/>
      <c r="B156" s="22"/>
      <c r="C156" s="22" t="s">
        <v>73</v>
      </c>
      <c r="D156" s="31" t="s">
        <v>71</v>
      </c>
      <c r="E156" s="23">
        <v>0.8</v>
      </c>
      <c r="F156" s="22" t="s">
        <v>76</v>
      </c>
      <c r="G156" s="22">
        <v>60</v>
      </c>
      <c r="H156" s="24">
        <v>48</v>
      </c>
      <c r="I156" s="3"/>
    </row>
    <row r="158" spans="1:9" x14ac:dyDescent="0.35">
      <c r="A158" s="25">
        <v>101248</v>
      </c>
      <c r="B158" s="25" t="s">
        <v>108</v>
      </c>
      <c r="C158" s="25"/>
      <c r="D158" s="30"/>
      <c r="E158" s="26"/>
      <c r="F158" s="25"/>
      <c r="G158" s="26"/>
      <c r="H158" s="27">
        <v>422.48499999999996</v>
      </c>
      <c r="I158" s="3"/>
    </row>
    <row r="159" spans="1:9" x14ac:dyDescent="0.35">
      <c r="A159" s="22"/>
      <c r="B159" s="22"/>
      <c r="C159" s="22" t="s">
        <v>36</v>
      </c>
      <c r="D159" s="31">
        <f>VLOOKUP(C159,Materialstamm!B:H,7,0)</f>
        <v>101228</v>
      </c>
      <c r="E159" s="23">
        <v>2</v>
      </c>
      <c r="F159" s="22" t="str">
        <f>VLOOKUP(D159,Materialstamm!A:F,6,0)</f>
        <v>ST</v>
      </c>
      <c r="G159" s="22">
        <v>32.68</v>
      </c>
      <c r="H159" s="24">
        <v>65.36</v>
      </c>
      <c r="I159" s="3"/>
    </row>
    <row r="160" spans="1:9" x14ac:dyDescent="0.35">
      <c r="A160" s="22"/>
      <c r="B160" s="22"/>
      <c r="C160" s="22" t="s">
        <v>59</v>
      </c>
      <c r="D160" s="31">
        <f>VLOOKUP(C160,Materialstamm!B:H,7,0)</f>
        <v>101264</v>
      </c>
      <c r="E160" s="23">
        <v>1</v>
      </c>
      <c r="F160" s="22" t="str">
        <f>VLOOKUP(D160,Materialstamm!A:F,6,0)</f>
        <v>ST</v>
      </c>
      <c r="G160" s="22">
        <v>213.685</v>
      </c>
      <c r="H160" s="24">
        <v>213.685</v>
      </c>
      <c r="I160" s="3"/>
    </row>
    <row r="161" spans="1:9" x14ac:dyDescent="0.35">
      <c r="A161" s="22"/>
      <c r="B161" s="22"/>
      <c r="C161" s="22" t="s">
        <v>9</v>
      </c>
      <c r="D161" s="31">
        <f>VLOOKUP(C161,Materialstamm!B:H,7,0)</f>
        <v>101276</v>
      </c>
      <c r="E161" s="23">
        <v>3</v>
      </c>
      <c r="F161" s="22" t="str">
        <f>VLOOKUP(D161,Materialstamm!A:F,6,0)</f>
        <v>ST</v>
      </c>
      <c r="G161" s="22">
        <v>0.01</v>
      </c>
      <c r="H161" s="24">
        <v>0.03</v>
      </c>
      <c r="I161" s="3"/>
    </row>
    <row r="162" spans="1:9" x14ac:dyDescent="0.35">
      <c r="A162" s="22"/>
      <c r="B162" s="22"/>
      <c r="C162" s="22" t="s">
        <v>10</v>
      </c>
      <c r="D162" s="31">
        <f>VLOOKUP(C162,Materialstamm!B:H,7,0)</f>
        <v>101277</v>
      </c>
      <c r="E162" s="23">
        <v>3</v>
      </c>
      <c r="F162" s="22" t="str">
        <f>VLOOKUP(D162,Materialstamm!A:F,6,0)</f>
        <v>ST</v>
      </c>
      <c r="G162" s="22">
        <v>0.01</v>
      </c>
      <c r="H162" s="24">
        <v>0.03</v>
      </c>
      <c r="I162" s="3"/>
    </row>
    <row r="163" spans="1:9" x14ac:dyDescent="0.35">
      <c r="A163" s="22"/>
      <c r="B163" s="22"/>
      <c r="C163" s="22" t="s">
        <v>11</v>
      </c>
      <c r="D163" s="31">
        <f>VLOOKUP(C163,Materialstamm!B:H,7,0)</f>
        <v>101223</v>
      </c>
      <c r="E163" s="23">
        <v>4</v>
      </c>
      <c r="F163" s="22" t="str">
        <f>VLOOKUP(D163,Materialstamm!A:F,6,0)</f>
        <v>ST</v>
      </c>
      <c r="G163" s="22">
        <v>0.02</v>
      </c>
      <c r="H163" s="24">
        <v>0.08</v>
      </c>
      <c r="I163" s="3"/>
    </row>
    <row r="164" spans="1:9" x14ac:dyDescent="0.35">
      <c r="A164" s="22"/>
      <c r="B164" s="22"/>
      <c r="C164" s="22" t="s">
        <v>50</v>
      </c>
      <c r="D164" s="31">
        <f>VLOOKUP(C164,Materialstamm!B:H,7,0)</f>
        <v>101280</v>
      </c>
      <c r="E164" s="23">
        <v>1</v>
      </c>
      <c r="F164" s="22" t="str">
        <f>VLOOKUP(D164,Materialstamm!A:F,6,0)</f>
        <v>ST</v>
      </c>
      <c r="G164" s="22">
        <v>31</v>
      </c>
      <c r="H164" s="24">
        <v>31</v>
      </c>
      <c r="I164" s="3"/>
    </row>
    <row r="165" spans="1:9" x14ac:dyDescent="0.35">
      <c r="A165" s="22"/>
      <c r="B165" s="22"/>
      <c r="C165" s="22" t="s">
        <v>86</v>
      </c>
      <c r="D165" s="31">
        <f>VLOOKUP(C165,Materialstamm!B:H,7,0)</f>
        <v>101234</v>
      </c>
      <c r="E165" s="23">
        <v>1</v>
      </c>
      <c r="F165" s="22" t="str">
        <f>VLOOKUP(D165,Materialstamm!A:F,6,0)</f>
        <v>ST</v>
      </c>
      <c r="G165" s="22">
        <v>49</v>
      </c>
      <c r="H165" s="24">
        <v>49</v>
      </c>
      <c r="I165" s="3"/>
    </row>
    <row r="166" spans="1:9" x14ac:dyDescent="0.35">
      <c r="A166" s="22"/>
      <c r="B166" s="22"/>
      <c r="C166" s="22" t="s">
        <v>16</v>
      </c>
      <c r="D166" s="31">
        <f>VLOOKUP(C166,Materialstamm!B:H,7,0)</f>
        <v>101235</v>
      </c>
      <c r="E166" s="23">
        <v>1</v>
      </c>
      <c r="F166" s="22" t="str">
        <f>VLOOKUP(D166,Materialstamm!A:F,6,0)</f>
        <v>ST</v>
      </c>
      <c r="G166" s="22">
        <v>8</v>
      </c>
      <c r="H166" s="24">
        <v>8</v>
      </c>
      <c r="I166" s="3"/>
    </row>
    <row r="167" spans="1:9" x14ac:dyDescent="0.35">
      <c r="A167" s="22"/>
      <c r="B167" s="22"/>
      <c r="C167" s="22" t="s">
        <v>19</v>
      </c>
      <c r="D167" s="31">
        <f>VLOOKUP(C167,Materialstamm!B:H,7,0)</f>
        <v>101222</v>
      </c>
      <c r="E167" s="23">
        <v>1</v>
      </c>
      <c r="F167" s="22" t="str">
        <f>VLOOKUP(D167,Materialstamm!A:F,6,0)</f>
        <v>ST</v>
      </c>
      <c r="G167" s="22">
        <v>0.3</v>
      </c>
      <c r="H167" s="24">
        <v>0.3</v>
      </c>
      <c r="I167" s="3"/>
    </row>
    <row r="168" spans="1:9" x14ac:dyDescent="0.35">
      <c r="A168" s="22"/>
      <c r="B168" s="22"/>
      <c r="C168" s="22" t="s">
        <v>73</v>
      </c>
      <c r="D168" s="31" t="s">
        <v>70</v>
      </c>
      <c r="E168" s="23">
        <v>0.25</v>
      </c>
      <c r="F168" s="22" t="s">
        <v>76</v>
      </c>
      <c r="G168" s="22">
        <v>28</v>
      </c>
      <c r="H168" s="24">
        <v>7</v>
      </c>
      <c r="I168" s="3"/>
    </row>
    <row r="169" spans="1:9" x14ac:dyDescent="0.35">
      <c r="A169" s="22"/>
      <c r="B169" s="22"/>
      <c r="C169" s="22" t="s">
        <v>73</v>
      </c>
      <c r="D169" s="31" t="s">
        <v>71</v>
      </c>
      <c r="E169" s="23">
        <v>0.8</v>
      </c>
      <c r="F169" s="22" t="s">
        <v>76</v>
      </c>
      <c r="G169" s="22">
        <v>60</v>
      </c>
      <c r="H169" s="24">
        <v>48</v>
      </c>
      <c r="I169" s="3"/>
    </row>
    <row r="171" spans="1:9" x14ac:dyDescent="0.35">
      <c r="A171" s="25">
        <v>101249</v>
      </c>
      <c r="B171" s="25" t="s">
        <v>109</v>
      </c>
      <c r="C171" s="25"/>
      <c r="D171" s="30"/>
      <c r="E171" s="26"/>
      <c r="F171" s="25"/>
      <c r="G171" s="26"/>
      <c r="H171" s="27">
        <v>426.04999999999995</v>
      </c>
      <c r="I171" s="3"/>
    </row>
    <row r="172" spans="1:9" x14ac:dyDescent="0.35">
      <c r="A172" s="22"/>
      <c r="B172" s="22"/>
      <c r="C172" s="22" t="s">
        <v>31</v>
      </c>
      <c r="D172" s="31">
        <f>VLOOKUP(C172,Materialstamm!B:H,7,0)</f>
        <v>101229</v>
      </c>
      <c r="E172" s="23">
        <v>2</v>
      </c>
      <c r="F172" s="22" t="str">
        <f>VLOOKUP(D172,Materialstamm!A:F,6,0)</f>
        <v>ST</v>
      </c>
      <c r="G172" s="22">
        <v>33.24</v>
      </c>
      <c r="H172" s="24">
        <v>66.48</v>
      </c>
      <c r="I172" s="3"/>
    </row>
    <row r="173" spans="1:9" x14ac:dyDescent="0.35">
      <c r="A173" s="22"/>
      <c r="B173" s="22"/>
      <c r="C173" s="22" t="s">
        <v>58</v>
      </c>
      <c r="D173" s="31">
        <f>VLOOKUP(C173,Materialstamm!B:H,7,0)</f>
        <v>101263</v>
      </c>
      <c r="E173" s="23">
        <v>1</v>
      </c>
      <c r="F173" s="22" t="str">
        <f>VLOOKUP(D173,Materialstamm!A:F,6,0)</f>
        <v>ST</v>
      </c>
      <c r="G173" s="22">
        <v>216.13</v>
      </c>
      <c r="H173" s="24">
        <v>216.13</v>
      </c>
      <c r="I173" s="3"/>
    </row>
    <row r="174" spans="1:9" x14ac:dyDescent="0.35">
      <c r="A174" s="22"/>
      <c r="B174" s="22"/>
      <c r="C174" s="22" t="s">
        <v>9</v>
      </c>
      <c r="D174" s="31">
        <f>VLOOKUP(C174,Materialstamm!B:H,7,0)</f>
        <v>101276</v>
      </c>
      <c r="E174" s="23">
        <v>3</v>
      </c>
      <c r="F174" s="22" t="str">
        <f>VLOOKUP(D174,Materialstamm!A:F,6,0)</f>
        <v>ST</v>
      </c>
      <c r="G174" s="22">
        <v>0.01</v>
      </c>
      <c r="H174" s="24">
        <v>0.03</v>
      </c>
      <c r="I174" s="3"/>
    </row>
    <row r="175" spans="1:9" x14ac:dyDescent="0.35">
      <c r="A175" s="22"/>
      <c r="B175" s="22"/>
      <c r="C175" s="22" t="s">
        <v>10</v>
      </c>
      <c r="D175" s="31">
        <f>VLOOKUP(C175,Materialstamm!B:H,7,0)</f>
        <v>101277</v>
      </c>
      <c r="E175" s="23">
        <v>3</v>
      </c>
      <c r="F175" s="22" t="str">
        <f>VLOOKUP(D175,Materialstamm!A:F,6,0)</f>
        <v>ST</v>
      </c>
      <c r="G175" s="22">
        <v>0.01</v>
      </c>
      <c r="H175" s="24">
        <v>0.03</v>
      </c>
      <c r="I175" s="3"/>
    </row>
    <row r="176" spans="1:9" x14ac:dyDescent="0.35">
      <c r="A176" s="22"/>
      <c r="B176" s="22"/>
      <c r="C176" s="22" t="s">
        <v>11</v>
      </c>
      <c r="D176" s="31">
        <f>VLOOKUP(C176,Materialstamm!B:H,7,0)</f>
        <v>101223</v>
      </c>
      <c r="E176" s="23">
        <v>4</v>
      </c>
      <c r="F176" s="22" t="str">
        <f>VLOOKUP(D176,Materialstamm!A:F,6,0)</f>
        <v>ST</v>
      </c>
      <c r="G176" s="22">
        <v>0.02</v>
      </c>
      <c r="H176" s="24">
        <v>0.08</v>
      </c>
      <c r="I176" s="3"/>
    </row>
    <row r="177" spans="1:9" x14ac:dyDescent="0.35">
      <c r="A177" s="22"/>
      <c r="B177" s="22"/>
      <c r="C177" s="22" t="s">
        <v>50</v>
      </c>
      <c r="D177" s="31">
        <f>VLOOKUP(C177,Materialstamm!B:H,7,0)</f>
        <v>101280</v>
      </c>
      <c r="E177" s="23">
        <v>1</v>
      </c>
      <c r="F177" s="22" t="str">
        <f>VLOOKUP(D177,Materialstamm!A:F,6,0)</f>
        <v>ST</v>
      </c>
      <c r="G177" s="22">
        <v>31</v>
      </c>
      <c r="H177" s="24">
        <v>31</v>
      </c>
      <c r="I177" s="3"/>
    </row>
    <row r="178" spans="1:9" x14ac:dyDescent="0.35">
      <c r="A178" s="22"/>
      <c r="B178" s="22"/>
      <c r="C178" s="22" t="s">
        <v>86</v>
      </c>
      <c r="D178" s="31">
        <f>VLOOKUP(C178,Materialstamm!B:H,7,0)</f>
        <v>101234</v>
      </c>
      <c r="E178" s="23">
        <v>1</v>
      </c>
      <c r="F178" s="22" t="str">
        <f>VLOOKUP(D178,Materialstamm!A:F,6,0)</f>
        <v>ST</v>
      </c>
      <c r="G178" s="22">
        <v>49</v>
      </c>
      <c r="H178" s="24">
        <v>49</v>
      </c>
      <c r="I178" s="3"/>
    </row>
    <row r="179" spans="1:9" x14ac:dyDescent="0.35">
      <c r="A179" s="22"/>
      <c r="B179" s="22"/>
      <c r="C179" s="22" t="s">
        <v>16</v>
      </c>
      <c r="D179" s="31">
        <f>VLOOKUP(C179,Materialstamm!B:H,7,0)</f>
        <v>101235</v>
      </c>
      <c r="E179" s="23">
        <v>1</v>
      </c>
      <c r="F179" s="22" t="str">
        <f>VLOOKUP(D179,Materialstamm!A:F,6,0)</f>
        <v>ST</v>
      </c>
      <c r="G179" s="22">
        <v>8</v>
      </c>
      <c r="H179" s="24">
        <v>8</v>
      </c>
      <c r="I179" s="3"/>
    </row>
    <row r="180" spans="1:9" x14ac:dyDescent="0.35">
      <c r="A180" s="22"/>
      <c r="B180" s="22"/>
      <c r="C180" s="22" t="s">
        <v>19</v>
      </c>
      <c r="D180" s="31">
        <f>VLOOKUP(C180,Materialstamm!B:H,7,0)</f>
        <v>101222</v>
      </c>
      <c r="E180" s="23">
        <v>1</v>
      </c>
      <c r="F180" s="22" t="str">
        <f>VLOOKUP(D180,Materialstamm!A:F,6,0)</f>
        <v>ST</v>
      </c>
      <c r="G180" s="22">
        <v>0.3</v>
      </c>
      <c r="H180" s="24">
        <v>0.3</v>
      </c>
      <c r="I180" s="3"/>
    </row>
    <row r="181" spans="1:9" x14ac:dyDescent="0.35">
      <c r="A181" s="22"/>
      <c r="B181" s="22"/>
      <c r="C181" s="22" t="s">
        <v>73</v>
      </c>
      <c r="D181" s="31" t="s">
        <v>70</v>
      </c>
      <c r="E181" s="23">
        <v>0.25</v>
      </c>
      <c r="F181" s="22" t="s">
        <v>76</v>
      </c>
      <c r="G181" s="22">
        <v>28</v>
      </c>
      <c r="H181" s="24">
        <v>7</v>
      </c>
      <c r="I181" s="3"/>
    </row>
    <row r="182" spans="1:9" x14ac:dyDescent="0.35">
      <c r="A182" s="22"/>
      <c r="B182" s="22"/>
      <c r="C182" s="22" t="s">
        <v>73</v>
      </c>
      <c r="D182" s="31" t="s">
        <v>71</v>
      </c>
      <c r="E182" s="23">
        <v>0.8</v>
      </c>
      <c r="F182" s="22" t="s">
        <v>76</v>
      </c>
      <c r="G182" s="22">
        <v>60</v>
      </c>
      <c r="H182" s="24">
        <v>48</v>
      </c>
      <c r="I182" s="3"/>
    </row>
    <row r="184" spans="1:9" x14ac:dyDescent="0.35">
      <c r="A184" s="25">
        <v>101250</v>
      </c>
      <c r="B184" s="25" t="s">
        <v>83</v>
      </c>
      <c r="C184" s="25"/>
      <c r="D184" s="30"/>
      <c r="E184" s="26"/>
      <c r="F184" s="25"/>
      <c r="G184" s="26"/>
      <c r="H184" s="27">
        <v>432.65999999999991</v>
      </c>
      <c r="I184" s="3"/>
    </row>
    <row r="185" spans="1:9" x14ac:dyDescent="0.35">
      <c r="A185" s="22"/>
      <c r="B185" s="22"/>
      <c r="C185" s="22" t="s">
        <v>41</v>
      </c>
      <c r="D185" s="31">
        <f>VLOOKUP(C185,Materialstamm!B:H,7,0)</f>
        <v>101230</v>
      </c>
      <c r="E185" s="23">
        <v>2</v>
      </c>
      <c r="F185" s="22" t="str">
        <f>VLOOKUP(D185,Materialstamm!A:F,6,0)</f>
        <v>ST</v>
      </c>
      <c r="G185" s="22">
        <v>34.1</v>
      </c>
      <c r="H185" s="24">
        <v>68.2</v>
      </c>
      <c r="I185" s="3"/>
    </row>
    <row r="186" spans="1:9" x14ac:dyDescent="0.35">
      <c r="A186" s="22"/>
      <c r="B186" s="22"/>
      <c r="C186" s="22" t="s">
        <v>60</v>
      </c>
      <c r="D186" s="31">
        <f>VLOOKUP(C186,Materialstamm!B:H,7,0)</f>
        <v>101265</v>
      </c>
      <c r="E186" s="23">
        <v>1</v>
      </c>
      <c r="F186" s="22" t="str">
        <f>VLOOKUP(D186,Materialstamm!A:F,6,0)</f>
        <v>ST</v>
      </c>
      <c r="G186" s="22">
        <v>221.01999999999998</v>
      </c>
      <c r="H186" s="24">
        <v>221.01999999999998</v>
      </c>
      <c r="I186" s="3"/>
    </row>
    <row r="187" spans="1:9" x14ac:dyDescent="0.35">
      <c r="A187" s="22"/>
      <c r="B187" s="22"/>
      <c r="C187" s="22" t="s">
        <v>9</v>
      </c>
      <c r="D187" s="31">
        <f>VLOOKUP(C187,Materialstamm!B:H,7,0)</f>
        <v>101276</v>
      </c>
      <c r="E187" s="23">
        <v>3</v>
      </c>
      <c r="F187" s="22" t="str">
        <f>VLOOKUP(D187,Materialstamm!A:F,6,0)</f>
        <v>ST</v>
      </c>
      <c r="G187" s="22">
        <v>0.01</v>
      </c>
      <c r="H187" s="24">
        <v>0.03</v>
      </c>
      <c r="I187" s="3"/>
    </row>
    <row r="188" spans="1:9" x14ac:dyDescent="0.35">
      <c r="A188" s="22"/>
      <c r="B188" s="22"/>
      <c r="C188" s="22" t="s">
        <v>10</v>
      </c>
      <c r="D188" s="31">
        <f>VLOOKUP(C188,Materialstamm!B:H,7,0)</f>
        <v>101277</v>
      </c>
      <c r="E188" s="23">
        <v>3</v>
      </c>
      <c r="F188" s="22" t="str">
        <f>VLOOKUP(D188,Materialstamm!A:F,6,0)</f>
        <v>ST</v>
      </c>
      <c r="G188" s="22">
        <v>0.01</v>
      </c>
      <c r="H188" s="24">
        <v>0.03</v>
      </c>
      <c r="I188" s="3"/>
    </row>
    <row r="189" spans="1:9" x14ac:dyDescent="0.35">
      <c r="A189" s="22"/>
      <c r="B189" s="22"/>
      <c r="C189" s="22" t="s">
        <v>11</v>
      </c>
      <c r="D189" s="31">
        <f>VLOOKUP(C189,Materialstamm!B:H,7,0)</f>
        <v>101223</v>
      </c>
      <c r="E189" s="23">
        <v>4</v>
      </c>
      <c r="F189" s="22" t="str">
        <f>VLOOKUP(D189,Materialstamm!A:F,6,0)</f>
        <v>ST</v>
      </c>
      <c r="G189" s="22">
        <v>0.02</v>
      </c>
      <c r="H189" s="24">
        <v>0.08</v>
      </c>
      <c r="I189" s="3"/>
    </row>
    <row r="190" spans="1:9" x14ac:dyDescent="0.35">
      <c r="A190" s="22"/>
      <c r="B190" s="22"/>
      <c r="C190" s="22" t="s">
        <v>50</v>
      </c>
      <c r="D190" s="31">
        <f>VLOOKUP(C190,Materialstamm!B:H,7,0)</f>
        <v>101280</v>
      </c>
      <c r="E190" s="23">
        <v>1</v>
      </c>
      <c r="F190" s="22" t="str">
        <f>VLOOKUP(D190,Materialstamm!A:F,6,0)</f>
        <v>ST</v>
      </c>
      <c r="G190" s="22">
        <v>31</v>
      </c>
      <c r="H190" s="24">
        <v>31</v>
      </c>
      <c r="I190" s="3"/>
    </row>
    <row r="191" spans="1:9" x14ac:dyDescent="0.35">
      <c r="A191" s="22"/>
      <c r="B191" s="22"/>
      <c r="C191" s="22" t="s">
        <v>86</v>
      </c>
      <c r="D191" s="31">
        <f>VLOOKUP(C191,Materialstamm!B:H,7,0)</f>
        <v>101234</v>
      </c>
      <c r="E191" s="23">
        <v>1</v>
      </c>
      <c r="F191" s="22" t="str">
        <f>VLOOKUP(D191,Materialstamm!A:F,6,0)</f>
        <v>ST</v>
      </c>
      <c r="G191" s="22">
        <v>49</v>
      </c>
      <c r="H191" s="24">
        <v>49</v>
      </c>
      <c r="I191" s="3"/>
    </row>
    <row r="192" spans="1:9" x14ac:dyDescent="0.35">
      <c r="A192" s="22"/>
      <c r="B192" s="22"/>
      <c r="C192" s="22" t="s">
        <v>16</v>
      </c>
      <c r="D192" s="31">
        <f>VLOOKUP(C192,Materialstamm!B:H,7,0)</f>
        <v>101235</v>
      </c>
      <c r="E192" s="23">
        <v>1</v>
      </c>
      <c r="F192" s="22" t="str">
        <f>VLOOKUP(D192,Materialstamm!A:F,6,0)</f>
        <v>ST</v>
      </c>
      <c r="G192" s="22">
        <v>8</v>
      </c>
      <c r="H192" s="24">
        <v>8</v>
      </c>
      <c r="I192" s="3"/>
    </row>
    <row r="193" spans="1:9" x14ac:dyDescent="0.35">
      <c r="A193" s="22"/>
      <c r="B193" s="22"/>
      <c r="C193" s="22" t="s">
        <v>19</v>
      </c>
      <c r="D193" s="31">
        <f>VLOOKUP(C193,Materialstamm!B:H,7,0)</f>
        <v>101222</v>
      </c>
      <c r="E193" s="23">
        <v>1</v>
      </c>
      <c r="F193" s="22" t="str">
        <f>VLOOKUP(D193,Materialstamm!A:F,6,0)</f>
        <v>ST</v>
      </c>
      <c r="G193" s="22">
        <v>0.3</v>
      </c>
      <c r="H193" s="24">
        <v>0.3</v>
      </c>
      <c r="I193" s="3"/>
    </row>
    <row r="194" spans="1:9" x14ac:dyDescent="0.35">
      <c r="A194" s="22"/>
      <c r="B194" s="22"/>
      <c r="C194" s="22" t="s">
        <v>73</v>
      </c>
      <c r="D194" s="31" t="s">
        <v>70</v>
      </c>
      <c r="E194" s="23">
        <v>0.25</v>
      </c>
      <c r="F194" s="22" t="s">
        <v>76</v>
      </c>
      <c r="G194" s="22">
        <v>28</v>
      </c>
      <c r="H194" s="24">
        <v>7</v>
      </c>
      <c r="I194" s="3"/>
    </row>
    <row r="195" spans="1:9" x14ac:dyDescent="0.35">
      <c r="A195" s="22"/>
      <c r="B195" s="22"/>
      <c r="C195" s="22" t="s">
        <v>73</v>
      </c>
      <c r="D195" s="31" t="s">
        <v>71</v>
      </c>
      <c r="E195" s="23">
        <v>0.8</v>
      </c>
      <c r="F195" s="22" t="s">
        <v>76</v>
      </c>
      <c r="G195" s="22">
        <v>60</v>
      </c>
      <c r="H195" s="24">
        <v>48</v>
      </c>
      <c r="I195" s="3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167B-905E-442F-AC67-44942B3FC5C8}">
  <sheetPr>
    <tabColor theme="8" tint="0.59999389629810485"/>
  </sheetPr>
  <dimension ref="A1:F36"/>
  <sheetViews>
    <sheetView workbookViewId="0">
      <selection activeCell="H18" sqref="H18"/>
    </sheetView>
  </sheetViews>
  <sheetFormatPr baseColWidth="10" defaultRowHeight="14.5" x14ac:dyDescent="0.35"/>
  <cols>
    <col min="1" max="1" width="6.81640625" bestFit="1" customWidth="1"/>
    <col min="2" max="2" width="19.7265625" bestFit="1" customWidth="1"/>
    <col min="4" max="4" width="12.1796875" bestFit="1" customWidth="1"/>
  </cols>
  <sheetData>
    <row r="1" spans="1:6" x14ac:dyDescent="0.35">
      <c r="A1" s="7"/>
      <c r="B1" s="7"/>
      <c r="C1" s="8" t="s">
        <v>129</v>
      </c>
      <c r="D1" s="7" t="s">
        <v>130</v>
      </c>
      <c r="E1" s="7" t="s">
        <v>128</v>
      </c>
      <c r="F1" s="8" t="s">
        <v>131</v>
      </c>
    </row>
    <row r="2" spans="1:6" x14ac:dyDescent="0.35">
      <c r="A2" s="9">
        <v>101226</v>
      </c>
      <c r="B2" s="9" t="s">
        <v>4</v>
      </c>
      <c r="C2" s="10">
        <v>15.1</v>
      </c>
      <c r="D2" s="11">
        <v>1.5</v>
      </c>
      <c r="E2" s="11">
        <v>13.5</v>
      </c>
      <c r="F2" s="12">
        <v>30.1</v>
      </c>
    </row>
    <row r="3" spans="1:6" x14ac:dyDescent="0.35">
      <c r="A3" s="9">
        <v>101227</v>
      </c>
      <c r="B3" s="9" t="s">
        <v>25</v>
      </c>
      <c r="C3" s="10">
        <v>16.62</v>
      </c>
      <c r="D3" s="11">
        <v>1.5</v>
      </c>
      <c r="E3" s="11">
        <v>13.5</v>
      </c>
      <c r="F3" s="12">
        <v>31.62</v>
      </c>
    </row>
    <row r="4" spans="1:6" x14ac:dyDescent="0.35">
      <c r="A4" s="9">
        <v>101229</v>
      </c>
      <c r="B4" s="9" t="s">
        <v>31</v>
      </c>
      <c r="C4" s="10">
        <v>18.240000000000002</v>
      </c>
      <c r="D4" s="11">
        <v>1.5</v>
      </c>
      <c r="E4" s="11">
        <v>13.5</v>
      </c>
      <c r="F4" s="12">
        <v>33.24</v>
      </c>
    </row>
    <row r="5" spans="1:6" x14ac:dyDescent="0.35">
      <c r="A5" s="9">
        <v>101228</v>
      </c>
      <c r="B5" s="9" t="s">
        <v>36</v>
      </c>
      <c r="C5" s="10">
        <v>17.68</v>
      </c>
      <c r="D5" s="11">
        <v>1.5</v>
      </c>
      <c r="E5" s="11">
        <v>13.5</v>
      </c>
      <c r="F5" s="12">
        <v>32.68</v>
      </c>
    </row>
    <row r="6" spans="1:6" x14ac:dyDescent="0.35">
      <c r="A6" s="13">
        <v>101230</v>
      </c>
      <c r="B6" s="13" t="s">
        <v>41</v>
      </c>
      <c r="C6" s="14">
        <v>19.100000000000001</v>
      </c>
      <c r="D6" s="15">
        <v>1.5</v>
      </c>
      <c r="E6" s="15">
        <v>13.5</v>
      </c>
      <c r="F6" s="16">
        <v>34.1</v>
      </c>
    </row>
    <row r="7" spans="1:6" x14ac:dyDescent="0.35">
      <c r="A7" s="17">
        <v>101251</v>
      </c>
      <c r="B7" s="11" t="s">
        <v>12</v>
      </c>
      <c r="C7" s="18">
        <v>78.64</v>
      </c>
      <c r="D7" s="19">
        <v>13</v>
      </c>
      <c r="E7" s="11">
        <v>57</v>
      </c>
      <c r="F7" s="12">
        <v>148.63999999999999</v>
      </c>
    </row>
    <row r="8" spans="1:6" x14ac:dyDescent="0.35">
      <c r="A8" s="17">
        <v>101252</v>
      </c>
      <c r="B8" s="11" t="s">
        <v>30</v>
      </c>
      <c r="C8" s="18">
        <v>82.18</v>
      </c>
      <c r="D8" s="19">
        <v>13</v>
      </c>
      <c r="E8" s="11">
        <v>57</v>
      </c>
      <c r="F8" s="12">
        <v>152.18</v>
      </c>
    </row>
    <row r="9" spans="1:6" x14ac:dyDescent="0.35">
      <c r="A9" s="17">
        <v>101254</v>
      </c>
      <c r="B9" s="11" t="s">
        <v>46</v>
      </c>
      <c r="C9" s="18">
        <v>85.72</v>
      </c>
      <c r="D9" s="19">
        <v>13</v>
      </c>
      <c r="E9" s="11">
        <v>57</v>
      </c>
      <c r="F9" s="12">
        <v>155.72</v>
      </c>
    </row>
    <row r="10" spans="1:6" x14ac:dyDescent="0.35">
      <c r="A10" s="17">
        <v>101253</v>
      </c>
      <c r="B10" s="11" t="s">
        <v>47</v>
      </c>
      <c r="C10" s="18">
        <v>84.584999999999994</v>
      </c>
      <c r="D10" s="19">
        <v>13</v>
      </c>
      <c r="E10" s="11">
        <v>57</v>
      </c>
      <c r="F10" s="12">
        <v>154.58499999999998</v>
      </c>
    </row>
    <row r="11" spans="1:6" x14ac:dyDescent="0.35">
      <c r="A11" s="17">
        <v>101255</v>
      </c>
      <c r="B11" s="11" t="s">
        <v>48</v>
      </c>
      <c r="C11" s="18">
        <v>89.259999999999991</v>
      </c>
      <c r="D11" s="19">
        <v>13</v>
      </c>
      <c r="E11" s="11">
        <v>57</v>
      </c>
      <c r="F11" s="12">
        <v>159.26</v>
      </c>
    </row>
    <row r="12" spans="1:6" x14ac:dyDescent="0.35">
      <c r="A12" s="17">
        <v>101256</v>
      </c>
      <c r="B12" s="11" t="s">
        <v>51</v>
      </c>
      <c r="C12" s="18">
        <v>117.68</v>
      </c>
      <c r="D12" s="19">
        <v>13</v>
      </c>
      <c r="E12" s="11">
        <v>57</v>
      </c>
      <c r="F12" s="12">
        <v>187.68</v>
      </c>
    </row>
    <row r="13" spans="1:6" x14ac:dyDescent="0.35">
      <c r="A13" s="17">
        <v>101257</v>
      </c>
      <c r="B13" s="11" t="s">
        <v>52</v>
      </c>
      <c r="C13" s="18">
        <v>123.66</v>
      </c>
      <c r="D13" s="19">
        <v>13</v>
      </c>
      <c r="E13" s="11">
        <v>57</v>
      </c>
      <c r="F13" s="12">
        <v>193.66</v>
      </c>
    </row>
    <row r="14" spans="1:6" x14ac:dyDescent="0.35">
      <c r="A14" s="17">
        <v>101259</v>
      </c>
      <c r="B14" s="11" t="s">
        <v>53</v>
      </c>
      <c r="C14" s="18">
        <v>129.63999999999999</v>
      </c>
      <c r="D14" s="19">
        <v>13</v>
      </c>
      <c r="E14" s="11">
        <v>57</v>
      </c>
      <c r="F14" s="12">
        <v>199.64</v>
      </c>
    </row>
    <row r="15" spans="1:6" x14ac:dyDescent="0.35">
      <c r="A15" s="17">
        <v>101258</v>
      </c>
      <c r="B15" s="11" t="s">
        <v>54</v>
      </c>
      <c r="C15" s="18">
        <v>127.895</v>
      </c>
      <c r="D15" s="19">
        <v>13</v>
      </c>
      <c r="E15" s="11">
        <v>57</v>
      </c>
      <c r="F15" s="12">
        <v>197.89499999999998</v>
      </c>
    </row>
    <row r="16" spans="1:6" x14ac:dyDescent="0.35">
      <c r="A16" s="17">
        <v>101260</v>
      </c>
      <c r="B16" s="11" t="s">
        <v>55</v>
      </c>
      <c r="C16" s="18">
        <v>135.62</v>
      </c>
      <c r="D16" s="19">
        <v>13</v>
      </c>
      <c r="E16" s="11">
        <v>57</v>
      </c>
      <c r="F16" s="12">
        <v>205.62</v>
      </c>
    </row>
    <row r="17" spans="1:6" x14ac:dyDescent="0.35">
      <c r="A17" s="17">
        <v>101261</v>
      </c>
      <c r="B17" s="11" t="s">
        <v>56</v>
      </c>
      <c r="C17" s="18">
        <v>131.37</v>
      </c>
      <c r="D17" s="19">
        <v>13</v>
      </c>
      <c r="E17" s="11">
        <v>57</v>
      </c>
      <c r="F17" s="12">
        <v>201.37</v>
      </c>
    </row>
    <row r="18" spans="1:6" x14ac:dyDescent="0.35">
      <c r="A18" s="17">
        <v>101262</v>
      </c>
      <c r="B18" s="11" t="s">
        <v>57</v>
      </c>
      <c r="C18" s="18">
        <v>138.75</v>
      </c>
      <c r="D18" s="19">
        <v>13</v>
      </c>
      <c r="E18" s="11">
        <v>57</v>
      </c>
      <c r="F18" s="12">
        <v>208.75</v>
      </c>
    </row>
    <row r="19" spans="1:6" x14ac:dyDescent="0.35">
      <c r="A19" s="17">
        <v>101263</v>
      </c>
      <c r="B19" s="11" t="s">
        <v>58</v>
      </c>
      <c r="C19" s="18">
        <v>146.13</v>
      </c>
      <c r="D19" s="19">
        <v>13</v>
      </c>
      <c r="E19" s="11">
        <v>57</v>
      </c>
      <c r="F19" s="12">
        <v>216.13</v>
      </c>
    </row>
    <row r="20" spans="1:6" x14ac:dyDescent="0.35">
      <c r="A20" s="17">
        <v>101264</v>
      </c>
      <c r="B20" s="11" t="s">
        <v>59</v>
      </c>
      <c r="C20" s="18">
        <v>143.685</v>
      </c>
      <c r="D20" s="19">
        <v>13</v>
      </c>
      <c r="E20" s="11">
        <v>57</v>
      </c>
      <c r="F20" s="12">
        <v>213.685</v>
      </c>
    </row>
    <row r="21" spans="1:6" x14ac:dyDescent="0.35">
      <c r="A21" s="20">
        <v>101265</v>
      </c>
      <c r="B21" s="15" t="s">
        <v>60</v>
      </c>
      <c r="C21" s="8">
        <v>151.01999999999998</v>
      </c>
      <c r="D21" s="7">
        <v>13</v>
      </c>
      <c r="E21" s="15">
        <v>57</v>
      </c>
      <c r="F21" s="16">
        <v>221.01999999999998</v>
      </c>
    </row>
    <row r="22" spans="1:6" x14ac:dyDescent="0.35">
      <c r="A22" s="9">
        <v>101236</v>
      </c>
      <c r="B22" s="21" t="s">
        <v>78</v>
      </c>
      <c r="C22" s="18">
        <v>254.38</v>
      </c>
      <c r="D22" s="19">
        <v>7</v>
      </c>
      <c r="E22" s="19">
        <v>48</v>
      </c>
      <c r="F22" s="10">
        <v>309.38</v>
      </c>
    </row>
    <row r="23" spans="1:6" x14ac:dyDescent="0.35">
      <c r="A23" s="9">
        <v>101237</v>
      </c>
      <c r="B23" s="21" t="s">
        <v>79</v>
      </c>
      <c r="C23" s="18">
        <v>260.96000000000004</v>
      </c>
      <c r="D23" s="19">
        <v>7</v>
      </c>
      <c r="E23" s="19">
        <v>48</v>
      </c>
      <c r="F23" s="10">
        <v>315.96000000000004</v>
      </c>
    </row>
    <row r="24" spans="1:6" x14ac:dyDescent="0.35">
      <c r="A24" s="9">
        <v>101239</v>
      </c>
      <c r="B24" s="21" t="s">
        <v>80</v>
      </c>
      <c r="C24" s="18">
        <v>267.74</v>
      </c>
      <c r="D24" s="19">
        <v>7</v>
      </c>
      <c r="E24" s="19">
        <v>48</v>
      </c>
      <c r="F24" s="10">
        <v>322.74</v>
      </c>
    </row>
    <row r="25" spans="1:6" x14ac:dyDescent="0.35">
      <c r="A25" s="9">
        <v>101238</v>
      </c>
      <c r="B25" s="21" t="s">
        <v>81</v>
      </c>
      <c r="C25" s="18">
        <v>265.48500000000001</v>
      </c>
      <c r="D25" s="19">
        <v>7</v>
      </c>
      <c r="E25" s="19">
        <v>48</v>
      </c>
      <c r="F25" s="10">
        <v>320.48500000000001</v>
      </c>
    </row>
    <row r="26" spans="1:6" x14ac:dyDescent="0.35">
      <c r="A26" s="9">
        <v>101240</v>
      </c>
      <c r="B26" s="21" t="s">
        <v>82</v>
      </c>
      <c r="C26" s="18">
        <v>273</v>
      </c>
      <c r="D26" s="19">
        <v>7</v>
      </c>
      <c r="E26" s="19">
        <v>48</v>
      </c>
      <c r="F26" s="10">
        <v>328</v>
      </c>
    </row>
    <row r="27" spans="1:6" x14ac:dyDescent="0.35">
      <c r="A27" s="9">
        <v>101241</v>
      </c>
      <c r="B27" s="21" t="s">
        <v>101</v>
      </c>
      <c r="C27" s="18">
        <v>293.32</v>
      </c>
      <c r="D27" s="19">
        <v>7</v>
      </c>
      <c r="E27" s="19">
        <v>48</v>
      </c>
      <c r="F27" s="10">
        <v>348.32</v>
      </c>
    </row>
    <row r="28" spans="1:6" x14ac:dyDescent="0.35">
      <c r="A28" s="9">
        <v>101242</v>
      </c>
      <c r="B28" s="21" t="s">
        <v>102</v>
      </c>
      <c r="C28" s="18">
        <v>302.33999999999992</v>
      </c>
      <c r="D28" s="19">
        <v>7</v>
      </c>
      <c r="E28" s="19">
        <v>48</v>
      </c>
      <c r="F28" s="10">
        <v>357.33999999999992</v>
      </c>
    </row>
    <row r="29" spans="1:6" x14ac:dyDescent="0.35">
      <c r="A29" s="9">
        <v>101243</v>
      </c>
      <c r="B29" s="21" t="s">
        <v>103</v>
      </c>
      <c r="C29" s="18">
        <v>308.69499999999994</v>
      </c>
      <c r="D29" s="19">
        <v>7</v>
      </c>
      <c r="E29" s="19">
        <v>48</v>
      </c>
      <c r="F29" s="10">
        <v>363.69499999999994</v>
      </c>
    </row>
    <row r="30" spans="1:6" x14ac:dyDescent="0.35">
      <c r="A30" s="9">
        <v>101244</v>
      </c>
      <c r="B30" s="21" t="s">
        <v>104</v>
      </c>
      <c r="C30" s="18">
        <v>311.55999999999995</v>
      </c>
      <c r="D30" s="19">
        <v>7</v>
      </c>
      <c r="E30" s="19">
        <v>48</v>
      </c>
      <c r="F30" s="10">
        <v>366.55999999999995</v>
      </c>
    </row>
    <row r="31" spans="1:6" x14ac:dyDescent="0.35">
      <c r="A31" s="9">
        <v>101245</v>
      </c>
      <c r="B31" s="21" t="s">
        <v>105</v>
      </c>
      <c r="C31" s="18">
        <v>319.25999999999993</v>
      </c>
      <c r="D31" s="19">
        <v>7</v>
      </c>
      <c r="E31" s="19">
        <v>48</v>
      </c>
      <c r="F31" s="10">
        <v>374.25999999999993</v>
      </c>
    </row>
    <row r="32" spans="1:6" x14ac:dyDescent="0.35">
      <c r="A32" s="9">
        <v>101246</v>
      </c>
      <c r="B32" s="21" t="s">
        <v>106</v>
      </c>
      <c r="C32" s="18">
        <v>350.00999999999993</v>
      </c>
      <c r="D32" s="19">
        <v>7</v>
      </c>
      <c r="E32" s="19">
        <v>48</v>
      </c>
      <c r="F32" s="10">
        <v>405.00999999999993</v>
      </c>
    </row>
    <row r="33" spans="1:6" x14ac:dyDescent="0.35">
      <c r="A33" s="9">
        <v>101247</v>
      </c>
      <c r="B33" s="21" t="s">
        <v>107</v>
      </c>
      <c r="C33" s="18">
        <v>360.42999999999995</v>
      </c>
      <c r="D33" s="19">
        <v>7</v>
      </c>
      <c r="E33" s="19">
        <v>48</v>
      </c>
      <c r="F33" s="10">
        <v>415.42999999999995</v>
      </c>
    </row>
    <row r="34" spans="1:6" x14ac:dyDescent="0.35">
      <c r="A34" s="9">
        <v>101248</v>
      </c>
      <c r="B34" s="21" t="s">
        <v>108</v>
      </c>
      <c r="C34" s="18">
        <v>367.48499999999996</v>
      </c>
      <c r="D34" s="19">
        <v>7</v>
      </c>
      <c r="E34" s="19">
        <v>48</v>
      </c>
      <c r="F34" s="10">
        <v>422.48499999999996</v>
      </c>
    </row>
    <row r="35" spans="1:6" x14ac:dyDescent="0.35">
      <c r="A35" s="9">
        <v>101249</v>
      </c>
      <c r="B35" s="21" t="s">
        <v>109</v>
      </c>
      <c r="C35" s="18">
        <v>371.04999999999995</v>
      </c>
      <c r="D35" s="19">
        <v>7</v>
      </c>
      <c r="E35" s="19">
        <v>48</v>
      </c>
      <c r="F35" s="10">
        <v>426.04999999999995</v>
      </c>
    </row>
    <row r="36" spans="1:6" x14ac:dyDescent="0.35">
      <c r="A36" s="9">
        <v>101250</v>
      </c>
      <c r="B36" s="21" t="s">
        <v>83</v>
      </c>
      <c r="C36" s="18">
        <v>377.65999999999991</v>
      </c>
      <c r="D36" s="19">
        <v>7</v>
      </c>
      <c r="E36" s="19">
        <v>48</v>
      </c>
      <c r="F36" s="10">
        <v>432.65999999999991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Materialstamm</vt:lpstr>
      <vt:lpstr>Tarife</vt:lpstr>
      <vt:lpstr>bewert. Stücklisten Räder</vt:lpstr>
      <vt:lpstr>bewert. Stücklisten Rahmen</vt:lpstr>
      <vt:lpstr>bewert. Stücklisten Fahrräder</vt:lpstr>
      <vt:lpstr>Kostenelemente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Dummy</dc:creator>
  <cp:lastModifiedBy>Wendehals, Marion</cp:lastModifiedBy>
  <dcterms:created xsi:type="dcterms:W3CDTF">2023-05-14T08:03:23Z</dcterms:created>
  <dcterms:modified xsi:type="dcterms:W3CDTF">2025-11-10T14:56:41Z</dcterms:modified>
</cp:coreProperties>
</file>